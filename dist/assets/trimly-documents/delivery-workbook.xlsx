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5c6df6ae7641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line" sheetId="1" r:id="Rd6f91dd7e9f4401b"/>
    <x:sheet xmlns:r="http://schemas.openxmlformats.org/officeDocument/2006/relationships" name="Jira Register" sheetId="2" r:id="R36c12ebe087c44e7"/>
    <x:sheet xmlns:r="http://schemas.openxmlformats.org/officeDocument/2006/relationships" name="Transitions" sheetId="3" r:id="Raac43a6d4ce848da"/>
    <x:sheet xmlns:r="http://schemas.openxmlformats.org/officeDocument/2006/relationships" name="Decisions" sheetId="4" r:id="R1a79248ec4fc4157"/>
    <x:sheet xmlns:r="http://schemas.openxmlformats.org/officeDocument/2006/relationships" name="Risks" sheetId="5" r:id="Rfdef6ab77f644108"/>
    <x:sheet xmlns:r="http://schemas.openxmlformats.org/officeDocument/2006/relationships" name="Launch" sheetId="6" r:id="R69e68ed5aeb64006"/>
    <x:sheet xmlns:r="http://schemas.openxmlformats.org/officeDocument/2006/relationships" name="Outcomes" sheetId="7" r:id="R221bad7a729f41bf"/>
    <x:sheet xmlns:r="http://schemas.openxmlformats.org/officeDocument/2006/relationships" name="Source Index" sheetId="8" r:id="Rdde825f8cac549cc"/>
    <x:sheet xmlns:r="http://schemas.openxmlformats.org/officeDocument/2006/relationships" name="Record Notes" sheetId="9" r:id="R2f3f6d96b1b94e42"/>
    <x:sheet xmlns:r="http://schemas.openxmlformats.org/officeDocument/2006/relationships" name="Overview" sheetId="10" r:id="Ra66f3dc556f24146"/>
    <x:sheet xmlns:r="http://schemas.openxmlformats.org/officeDocument/2006/relationships" name="Board" sheetId="11" r:id="R3e99b833e48f4f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 mmm yyyy"/>
    <x:numFmt numFmtId="201" formatCode="0&quot; days&quot;"/>
    <x:numFmt numFmtId="202" formatCode="mmm yy"/>
    <x:numFmt numFmtId="203" formatCode="0%"/>
    <x:numFmt numFmtId="204" formatCode="0"/>
  </x:numFmts>
  <x:fonts count="8">
    <x:font>
      <x:sz val="11"/>
      <x:name val="Carlito"/>
    </x:font>
    <x:font>
      <x:sz val="11"/>
      <x:color rgb="FF22364A"/>
      <x:name val="Aptos"/>
    </x:font>
    <x:font>
      <x:b/>
      <x:sz val="11"/>
      <x:color rgb="FFFFFFFF"/>
      <x:name val="Aptos"/>
    </x:font>
    <x:font>
      <x:sz val="11"/>
      <x:color rgb="FF69798A"/>
      <x:name val="Aptos"/>
    </x:font>
    <x:font>
      <x:sz val="11"/>
      <x:color rgb="FF12766F"/>
      <x:name val="Aptos"/>
    </x:font>
    <x:font>
      <x:b/>
      <x:sz val="11"/>
      <x:color rgb="FF12766F"/>
      <x:name val="Aptos"/>
    </x:font>
    <x:font>
      <x:b/>
      <x:sz val="11"/>
      <x:color rgb="FF69798A"/>
      <x:name val="Aptos"/>
    </x:font>
    <x:font>
      <x:b/>
      <x:sz val="11"/>
      <x:color rgb="FF17324D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9F3F2"/>
      </x:patternFill>
    </x:fill>
    <x:fill>
      <x:patternFill patternType="solid">
        <x:fgColor rgb="FF12766F"/>
      </x:patternFill>
    </x:fill>
    <x:fill>
      <x:patternFill patternType="solid">
        <x:fgColor rgb="FFF1F4F8"/>
      </x:patternFill>
    </x:fill>
  </x:fills>
  <x:borders count="2">
    <x:border/>
    <x:border/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2" fontId="2" fillId="4" borderId="0" xfId="0" applyNumberFormat="1" applyFont="1" applyFill="1" applyBorder="1" applyAlignment="1">
      <x:alignment vertical="center"/>
    </x:xf>
    <x:xf numFmtId="202" fontId="2" fillId="4" borderId="0" xfId="0" applyNumberFormat="1" applyFont="1" applyFill="1" applyBorder="1" applyAlignment="1">
      <x:alignment horizontal="center" vertical="center"/>
    </x:xf>
    <x:xf numFmtId="202" fontId="1" fillId="4" borderId="1" xfId="0" applyNumberFormat="1" applyFont="1" applyFill="1" applyBorder="1" applyAlignment="1">
      <x:alignment vertical="center"/>
    </x:xf>
    <x:xf numFmtId="202" fontId="2" fillId="4" borderId="1" xfId="0" applyNumberFormat="1" applyFont="1" applyFill="1" applyBorder="1" applyAlignment="1">
      <x:alignment vertical="center"/>
    </x:xf>
    <x:xf numFmtId="202" fontId="2" fillId="4" borderId="1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3" fontId="1" fillId="0" borderId="1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204" fontId="1" fillId="0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horizontal="center" vertical="center"/>
    </x:xf>
    <x:xf numFmtId="200" fontId="5" fillId="3" borderId="0" xfId="0" applyNumberFormat="1" applyFont="1" applyFill="1" applyBorder="1" applyAlignment="1">
      <x:alignment horizontal="center" vertical="center"/>
    </x:xf>
    <x:xf numFmtId="200" fontId="5" fillId="3" borderId="1" xfId="0" applyNumberFormat="1" applyFont="1" applyFill="1" applyBorder="1" applyAlignment="1">
      <x:alignment horizontal="center" vertical="center"/>
    </x:xf>
    <x:xf numFmtId="201" fontId="5" fillId="3" borderId="0" xfId="0" applyNumberFormat="1" applyFont="1" applyFill="1" applyBorder="1" applyAlignment="1">
      <x:alignment horizontal="center" vertical="center"/>
    </x:xf>
    <x:xf numFmtId="201" fontId="5" fillId="3" borderId="1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color rgb="FF805219"/>
      </x:font>
      <x:fill>
        <x:patternFill patternType="solid">
          <x:bgColor rgb="FFF6EBD7"/>
        </x:patternFill>
      </x:fill>
    </x:dxf>
    <x:dxf>
      <x:font>
        <x:b/>
        <x:color rgb="FFFFFFFF"/>
      </x:font>
      <x:fill>
        <x:patternFill patternType="solid">
          <x:bgColor rgb="FF12766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ed08f685ce42a3" /><Relationship Type="http://schemas.openxmlformats.org/officeDocument/2006/relationships/theme" Target="/xl/theme/theme1.xml" Id="Rb632c1a7a1bf414b" /><Relationship Type="http://schemas.openxmlformats.org/officeDocument/2006/relationships/sharedStrings" Target="/xl/sharedStrings.xml" Id="Rfcbf6f02b5b84708" /><Relationship Type="http://schemas.openxmlformats.org/officeDocument/2006/relationships/worksheet" Target="/xl/worksheets/sheet1.xml" Id="Rd6f91dd7e9f4401b" /><Relationship Type="http://schemas.openxmlformats.org/officeDocument/2006/relationships/worksheet" Target="/xl/worksheets/sheet2.xml" Id="R36c12ebe087c44e7" /><Relationship Type="http://schemas.openxmlformats.org/officeDocument/2006/relationships/worksheet" Target="/xl/worksheets/sheet3.xml" Id="Raac43a6d4ce848da" /><Relationship Type="http://schemas.openxmlformats.org/officeDocument/2006/relationships/worksheet" Target="/xl/worksheets/sheet4.xml" Id="R1a79248ec4fc4157" /><Relationship Type="http://schemas.openxmlformats.org/officeDocument/2006/relationships/worksheet" Target="/xl/worksheets/sheet5.xml" Id="Rfdef6ab77f644108" /><Relationship Type="http://schemas.openxmlformats.org/officeDocument/2006/relationships/worksheet" Target="/xl/worksheets/sheet6.xml" Id="R69e68ed5aeb64006" /><Relationship Type="http://schemas.openxmlformats.org/officeDocument/2006/relationships/worksheet" Target="/xl/worksheets/sheet7.xml" Id="R221bad7a729f41bf" /><Relationship Type="http://schemas.openxmlformats.org/officeDocument/2006/relationships/worksheet" Target="/xl/worksheets/sheet8.xml" Id="Rdde825f8cac549cc" /><Relationship Type="http://schemas.openxmlformats.org/officeDocument/2006/relationships/worksheet" Target="/xl/worksheets/sheet9.xml" Id="R2f3f6d96b1b94e42" /><Relationship Type="http://schemas.openxmlformats.org/officeDocument/2006/relationships/worksheet" Target="/xl/worksheets/sheet10.xml" Id="Ra66f3dc556f24146" /><Relationship Type="http://schemas.openxmlformats.org/officeDocument/2006/relationships/worksheet" Target="/xl/worksheets/sheet11.xml" Id="R3e99b833e48f4f3a" /></Relationships>
</file>

<file path=xl/tables/table1.xml><?xml version="1.0" encoding="utf-8"?>
<x:table xmlns:x="http://schemas.openxmlformats.org/spreadsheetml/2006/main" id="1" name="MilestoneRegister" displayName="MilestoneRegister" ref="A5:H18" headerRowCount="1" totalsRowCount="0" totalsRowShown="0">
  <x:tableColumns count="8">
    <x:tableColumn id="1" name="Milestone"/>
    <x:tableColumn id="2" name="Planned start / date"/>
    <x:tableColumn id="3" name="Planned end"/>
    <x:tableColumn id="4" name="Actual start / date"/>
    <x:tableColumn id="5" name="Actual end"/>
    <x:tableColumn id="6" name="Variance (days)"/>
    <x:tableColumn id="7" name="Owner"/>
    <x:tableColumn id="8" name="Referenced recor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imIssueRegister" displayName="TrimIssueRegister" ref="A5:M13" headerRowCount="1" totalsRowCount="0" totalsRowShown="0">
  <x:tableColumns count="13">
    <x:tableColumn id="1" name="Issue key"/>
    <x:tableColumn id="2" name="Summary"/>
    <x:tableColumn id="3" name="Type"/>
    <x:tableColumn id="4" name="Epic"/>
    <x:tableColumn id="5" name="Assignee"/>
    <x:tableColumn id="6" name="Reporter"/>
    <x:tableColumn id="7" name="Created"/>
    <x:tableColumn id="8" name="Resolved"/>
    <x:tableColumn id="9" name="Sprint / phase"/>
    <x:tableColumn id="10" name="Final status"/>
    <x:tableColumn id="11" name="Priority"/>
    <x:tableColumn id="12" name="Elapsed days"/>
    <x:tableColumn id="13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portedTransitions" displayName="ReportedTransitions" ref="A5:E12" headerRowCount="1" totalsRowCount="0" totalsRowShown="0">
  <x:tableColumns count="5">
    <x:tableColumn id="1" name="Issue key"/>
    <x:tableColumn id="2" name="Sequence"/>
    <x:tableColumn id="3" name="Status"/>
    <x:tableColumn id="4" name="Transition timestamp"/>
    <x:tableColumn id="5" name="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imDecisions" displayName="TrimDecisions" ref="A5:F8" headerRowCount="1" totalsRowCount="0" totalsRowShown="0">
  <x:tableColumns count="6">
    <x:tableColumn id="1" name="Date"/>
    <x:tableColumn id="2" name="Context"/>
    <x:tableColumn id="3" name="Recorded decision"/>
    <x:tableColumn id="4" name="Reason / purpose"/>
    <x:tableColumn id="5" name="Decision-maker(s)"/>
    <x:tableColumn id="6" name="Source se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rimRiskTopics" displayName="TrimRiskTopics" ref="A5:D9" headerRowCount="1" totalsRowCount="0" totalsRowShown="0">
  <x:tableColumns count="4">
    <x:tableColumn id="1" name="Risk topic"/>
    <x:tableColumn id="2" name="Tracked by"/>
    <x:tableColumn id="3" name="Related supplied record"/>
    <x:tableColumn id="4" name="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rimLaunchRecord" displayName="TrimLaunchRecord" ref="A5:G12" headerRowCount="1" totalsRowCount="0" totalsRowShown="0">
  <x:tableColumns count="7">
    <x:tableColumn id="1" name="Start / event date"/>
    <x:tableColumn id="2" name="End date"/>
    <x:tableColumn id="3" name="Record / event"/>
    <x:tableColumn id="4" name="Reported result"/>
    <x:tableColumn id="5" name="Owner / approver"/>
    <x:tableColumn id="6" name="Detail"/>
    <x:tableColumn id="7" name="Source sec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rimOutcomes" displayName="TrimOutcomes" ref="A5:F15" headerRowCount="1" totalsRowCount="0" totalsRowShown="0">
  <x:tableColumns count="6">
    <x:tableColumn id="1" name="Measure"/>
    <x:tableColumn id="2" name="Reported value"/>
    <x:tableColumn id="3" name="Reporting window"/>
    <x:tableColumn id="4" name="Referenced record"/>
    <x:tableColumn id="5" name="Definition / note"/>
    <x:tableColumn id="6" name="Sour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rimSourceIndex" displayName="TrimSourceIndex" ref="A5:G15" headerRowCount="1" totalsRowCount="0" totalsRowShown="0">
  <x:tableColumns count="7">
    <x:tableColumn id="1" name="Referenced artifact"/>
    <x:tableColumn id="2" name="Reported original date"/>
    <x:tableColumn id="3" name="Reported owner"/>
    <x:tableColumn id="4" name="Type"/>
    <x:tableColumn id="5" name="Relevance"/>
    <x:tableColumn id="6" name="Account section"/>
    <x:tableColumn id="7" name="Availability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rimRecordNotes" displayName="TrimRecordNotes" ref="A5:B15" headerRowCount="1" totalsRowCount="0" totalsRowShown="0">
  <x:tableColumns count="2">
    <x:tableColumn id="1" name="Topic"/>
    <x:tableColumn id="2" name="Record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35e97ea7c849a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32c87b8ced043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226a2f0ea2f49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354e82fce4442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50f65ce64b64f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6f13260bd39427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8f84eef889540d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92074d1636a4e3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8c5df9ca24047ee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3" hidden="0" customWidth="1"/>
    <x:col min="7" max="7" width="23" hidden="0" customWidth="1"/>
    <x:col min="8" max="8" width="40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 ht="36" customHeight="1">
      <x:c r="A1" s="7" t="str">
        <x:v>TRIMLY | Baseline and actual timeline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</x:row>
    <x:row r="2" ht="34" customHeight="1">
      <x:c r="A2" s="11" t="str">
        <x:v>Reported project period: 6 October 2025 - 25 June 2026. Variance is calendar-day difference at comparable completion milestones.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</x:row>
    <x:row r="3" ht="32" customHeight="1">
      <x:c r="A3" s="16" t="str">
        <x:v>Compiled from project information supplied and confirmed by Precious Olusayo | Budget figures confidential</x:v>
      </x:c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</x:row>
    <x:row r="4" ht="23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34" customHeight="1">
      <x:c r="A5" s="20" t="str">
        <x:v>Milestone</x:v>
      </x:c>
      <x:c r="B5" s="20" t="str">
        <x:v>Planned start / date</x:v>
      </x:c>
      <x:c r="C5" s="20" t="str">
        <x:v>Planned end</x:v>
      </x:c>
      <x:c r="D5" s="20" t="str">
        <x:v>Actual start / date</x:v>
      </x:c>
      <x:c r="E5" s="20" t="str">
        <x:v>Actual end</x:v>
      </x:c>
      <x:c r="F5" s="20" t="str">
        <x:v>Variance (days)</x:v>
      </x:c>
      <x:c r="G5" s="20" t="str">
        <x:v>Owner</x:v>
      </x:c>
      <x:c r="H5" s="20" t="str">
        <x:v>Referenced record</x:v>
      </x:c>
      <x:c r="I5" s="32" t="n">
        <x:v>45931</x:v>
      </x:c>
      <x:c r="J5" s="32" t="n">
        <x:v>45962</x:v>
      </x:c>
      <x:c r="K5" s="32" t="n">
        <x:v>45992</x:v>
      </x:c>
      <x:c r="L5" s="32" t="n">
        <x:v>46023</x:v>
      </x:c>
      <x:c r="M5" s="32" t="n">
        <x:v>46054</x:v>
      </x:c>
      <x:c r="N5" s="32" t="n">
        <x:v>46082</x:v>
      </x:c>
      <x:c r="O5" s="32" t="n">
        <x:v>46113</x:v>
      </x:c>
      <x:c r="P5" s="32" t="n">
        <x:v>46143</x:v>
      </x:c>
      <x:c r="Q5" s="32" t="n">
        <x:v>46174</x:v>
      </x:c>
    </x:row>
    <x:row r="6" ht="44" customHeight="1">
      <x:c r="A6" s="22" t="str">
        <x:v>Project initiation &amp; requirements gathering</x:v>
      </x:c>
      <x:c r="B6" s="24" t="n">
        <x:v>45936</x:v>
      </x:c>
      <x:c r="C6" s="24"/>
      <x:c r="D6" s="24" t="n">
        <x:v>45936</x:v>
      </x:c>
      <x:c r="E6" s="24" t="n">
        <x:v>45945</x:v>
      </x:c>
      <x:c r="F6" s="26"/>
      <x:c r="G6" s="22" t="str">
        <x:v>Precious Olusayo</x:v>
      </x:c>
      <x:c r="H6" s="22" t="str">
        <x:v>Kick-off meeting notes; initial scope document</x:v>
      </x:c>
      <x:c r="I6" s="36" t="str">
        <x:f>IF(AND($D6&lt;&gt;"",$D6&lt;=EOMONTH(I$5,0),$E6&gt;=I$5),"X","")</x:f>
        <x:v>X</x:v>
      </x:c>
      <x:c r="J6" s="36" t="str">
        <x:f>IF(AND($D6&lt;&gt;"",$D6&lt;=EOMONTH(J$5,0),$E6&gt;=J$5),"X","")</x:f>
      </x:c>
      <x:c r="K6" s="36" t="str">
        <x:f>IF(AND($D6&lt;&gt;"",$D6&lt;=EOMONTH(K$5,0),$E6&gt;=K$5),"X","")</x:f>
      </x:c>
      <x:c r="L6" s="36" t="str">
        <x:f>IF(AND($D6&lt;&gt;"",$D6&lt;=EOMONTH(L$5,0),$E6&gt;=L$5),"X","")</x:f>
      </x:c>
      <x:c r="M6" s="36" t="str">
        <x:f>IF(AND($D6&lt;&gt;"",$D6&lt;=EOMONTH(M$5,0),$E6&gt;=M$5),"X","")</x:f>
      </x:c>
      <x:c r="N6" s="36" t="str">
        <x:f>IF(AND($D6&lt;&gt;"",$D6&lt;=EOMONTH(N$5,0),$E6&gt;=N$5),"X","")</x:f>
      </x:c>
      <x:c r="O6" s="36" t="str">
        <x:f>IF(AND($D6&lt;&gt;"",$D6&lt;=EOMONTH(O$5,0),$E6&gt;=O$5),"X","")</x:f>
      </x:c>
      <x:c r="P6" s="36" t="str">
        <x:f>IF(AND($D6&lt;&gt;"",$D6&lt;=EOMONTH(P$5,0),$E6&gt;=P$5),"X","")</x:f>
      </x:c>
      <x:c r="Q6" s="36" t="str">
        <x:f>IF(AND($D6&lt;&gt;"",$D6&lt;=EOMONTH(Q$5,0),$E6&gt;=Q$5),"X","")</x:f>
      </x:c>
    </x:row>
    <x:row r="7" ht="44" customHeight="1">
      <x:c r="A7" s="22" t="str">
        <x:v>MVP scope definition &amp; approval</x:v>
      </x:c>
      <x:c r="B7" s="24" t="n">
        <x:v>45952</x:v>
      </x:c>
      <x:c r="C7" s="24" t="n">
        <x:v>45952</x:v>
      </x:c>
      <x:c r="D7" s="24" t="n">
        <x:v>45954</x:v>
      </x:c>
      <x:c r="E7" s="24" t="n">
        <x:v>45954</x:v>
      </x:c>
      <x:c r="F7" s="26" t="n">
        <x:f>E7-C7</x:f>
        <x:v>2</x:v>
      </x:c>
      <x:c r="G7" s="22" t="str">
        <x:v>Precious + Founders</x:v>
      </x:c>
      <x:c r="H7" s="22" t="str">
        <x:v>Scope freeze email; signed MVP brief</x:v>
      </x:c>
      <x:c r="I7" s="36" t="str">
        <x:f>IF(AND($D7&lt;&gt;"",$D7&lt;=EOMONTH(I$5,0),$E7&gt;=I$5),"X","")</x:f>
        <x:v>X</x:v>
      </x:c>
      <x:c r="J7" s="36" t="str">
        <x:f>IF(AND($D7&lt;&gt;"",$D7&lt;=EOMONTH(J$5,0),$E7&gt;=J$5),"X","")</x:f>
      </x:c>
      <x:c r="K7" s="36" t="str">
        <x:f>IF(AND($D7&lt;&gt;"",$D7&lt;=EOMONTH(K$5,0),$E7&gt;=K$5),"X","")</x:f>
      </x:c>
      <x:c r="L7" s="36" t="str">
        <x:f>IF(AND($D7&lt;&gt;"",$D7&lt;=EOMONTH(L$5,0),$E7&gt;=L$5),"X","")</x:f>
      </x:c>
      <x:c r="M7" s="36" t="str">
        <x:f>IF(AND($D7&lt;&gt;"",$D7&lt;=EOMONTH(M$5,0),$E7&gt;=M$5),"X","")</x:f>
      </x:c>
      <x:c r="N7" s="36" t="str">
        <x:f>IF(AND($D7&lt;&gt;"",$D7&lt;=EOMONTH(N$5,0),$E7&gt;=N$5),"X","")</x:f>
      </x:c>
      <x:c r="O7" s="36" t="str">
        <x:f>IF(AND($D7&lt;&gt;"",$D7&lt;=EOMONTH(O$5,0),$E7&gt;=O$5),"X","")</x:f>
      </x:c>
      <x:c r="P7" s="36" t="str">
        <x:f>IF(AND($D7&lt;&gt;"",$D7&lt;=EOMONTH(P$5,0),$E7&gt;=P$5),"X","")</x:f>
      </x:c>
      <x:c r="Q7" s="36" t="str">
        <x:f>IF(AND($D7&lt;&gt;"",$D7&lt;=EOMONTH(Q$5,0),$E7&gt;=Q$5),"X","")</x:f>
      </x:c>
    </x:row>
    <x:row r="8" ht="44" customHeight="1">
      <x:c r="A8" s="22" t="str">
        <x:v>Design milestone: web booking flow</x:v>
      </x:c>
      <x:c r="B8" s="24" t="n">
        <x:v>45976</x:v>
      </x:c>
      <x:c r="C8" s="24" t="n">
        <x:v>45976</x:v>
      </x:c>
      <x:c r="D8" s="24" t="n">
        <x:v>45979</x:v>
      </x:c>
      <x:c r="E8" s="24" t="n">
        <x:v>45979</x:v>
      </x:c>
      <x:c r="F8" s="26" t="n">
        <x:f>E8-C8</x:f>
        <x:v>3</x:v>
      </x:c>
      <x:c r="G8" s="22" t="str">
        <x:v>Product Designer</x:v>
      </x:c>
      <x:c r="H8" s="22" t="str">
        <x:v>Figma final approval comments</x:v>
      </x:c>
      <x:c r="I8" s="36" t="str">
        <x:f>IF(AND($D8&lt;&gt;"",$D8&lt;=EOMONTH(I$5,0),$E8&gt;=I$5),"X","")</x:f>
      </x:c>
      <x:c r="J8" s="36" t="str">
        <x:f>IF(AND($D8&lt;&gt;"",$D8&lt;=EOMONTH(J$5,0),$E8&gt;=J$5),"X","")</x:f>
        <x:v>X</x:v>
      </x:c>
      <x:c r="K8" s="36" t="str">
        <x:f>IF(AND($D8&lt;&gt;"",$D8&lt;=EOMONTH(K$5,0),$E8&gt;=K$5),"X","")</x:f>
      </x:c>
      <x:c r="L8" s="36" t="str">
        <x:f>IF(AND($D8&lt;&gt;"",$D8&lt;=EOMONTH(L$5,0),$E8&gt;=L$5),"X","")</x:f>
      </x:c>
      <x:c r="M8" s="36" t="str">
        <x:f>IF(AND($D8&lt;&gt;"",$D8&lt;=EOMONTH(M$5,0),$E8&gt;=M$5),"X","")</x:f>
      </x:c>
      <x:c r="N8" s="36" t="str">
        <x:f>IF(AND($D8&lt;&gt;"",$D8&lt;=EOMONTH(N$5,0),$E8&gt;=N$5),"X","")</x:f>
      </x:c>
      <x:c r="O8" s="36" t="str">
        <x:f>IF(AND($D8&lt;&gt;"",$D8&lt;=EOMONTH(O$5,0),$E8&gt;=O$5),"X","")</x:f>
      </x:c>
      <x:c r="P8" s="36" t="str">
        <x:f>IF(AND($D8&lt;&gt;"",$D8&lt;=EOMONTH(P$5,0),$E8&gt;=P$5),"X","")</x:f>
      </x:c>
      <x:c r="Q8" s="36" t="str">
        <x:f>IF(AND($D8&lt;&gt;"",$D8&lt;=EOMONTH(Q$5,0),$E8&gt;=Q$5),"X","")</x:f>
      </x:c>
    </x:row>
    <x:row r="9" ht="44" customHeight="1">
      <x:c r="A9" s="22" t="str">
        <x:v>Development start</x:v>
      </x:c>
      <x:c r="B9" s="24" t="n">
        <x:v>45981</x:v>
      </x:c>
      <x:c r="C9" s="24" t="n">
        <x:v>45981</x:v>
      </x:c>
      <x:c r="D9" s="24" t="n">
        <x:v>45981</x:v>
      </x:c>
      <x:c r="E9" s="24" t="n">
        <x:v>45981</x:v>
      </x:c>
      <x:c r="F9" s="26" t="n">
        <x:f>E9-C9</x:f>
        <x:v>0</x:v>
      </x:c>
      <x:c r="G9" s="22" t="str">
        <x:v>Lead Developer</x:v>
      </x:c>
      <x:c r="H9" s="22" t="str">
        <x:v>First commit; Sprint 1 start</x:v>
      </x:c>
      <x:c r="I9" s="36" t="str">
        <x:f>IF(AND($D9&lt;&gt;"",$D9&lt;=EOMONTH(I$5,0),$E9&gt;=I$5),"X","")</x:f>
      </x:c>
      <x:c r="J9" s="36" t="str">
        <x:f>IF(AND($D9&lt;&gt;"",$D9&lt;=EOMONTH(J$5,0),$E9&gt;=J$5),"X","")</x:f>
        <x:v>X</x:v>
      </x:c>
      <x:c r="K9" s="36" t="str">
        <x:f>IF(AND($D9&lt;&gt;"",$D9&lt;=EOMONTH(K$5,0),$E9&gt;=K$5),"X","")</x:f>
      </x:c>
      <x:c r="L9" s="36" t="str">
        <x:f>IF(AND($D9&lt;&gt;"",$D9&lt;=EOMONTH(L$5,0),$E9&gt;=L$5),"X","")</x:f>
      </x:c>
      <x:c r="M9" s="36" t="str">
        <x:f>IF(AND($D9&lt;&gt;"",$D9&lt;=EOMONTH(M$5,0),$E9&gt;=M$5),"X","")</x:f>
      </x:c>
      <x:c r="N9" s="36" t="str">
        <x:f>IF(AND($D9&lt;&gt;"",$D9&lt;=EOMONTH(N$5,0),$E9&gt;=N$5),"X","")</x:f>
      </x:c>
      <x:c r="O9" s="36" t="str">
        <x:f>IF(AND($D9&lt;&gt;"",$D9&lt;=EOMONTH(O$5,0),$E9&gt;=O$5),"X","")</x:f>
      </x:c>
      <x:c r="P9" s="36" t="str">
        <x:f>IF(AND($D9&lt;&gt;"",$D9&lt;=EOMONTH(P$5,0),$E9&gt;=P$5),"X","")</x:f>
      </x:c>
      <x:c r="Q9" s="36" t="str">
        <x:f>IF(AND($D9&lt;&gt;"",$D9&lt;=EOMONTH(Q$5,0),$E9&gt;=Q$5),"X","")</x:f>
      </x:c>
    </x:row>
    <x:row r="10" ht="44" customHeight="1">
      <x:c r="A10" s="22" t="str">
        <x:v>Sprint cycles (18 reported)</x:v>
      </x:c>
      <x:c r="B10" s="24"/>
      <x:c r="C10" s="24"/>
      <x:c r="D10" s="24" t="n">
        <x:v>45981</x:v>
      </x:c>
      <x:c r="E10" s="24" t="n">
        <x:v>46157</x:v>
      </x:c>
      <x:c r="F10" s="26"/>
      <x:c r="G10" s="22" t="str">
        <x:v>Precious (facilitator)</x:v>
      </x:c>
      <x:c r="H10" s="22" t="str">
        <x:v>Sprint cycle summary; planned cadence continuous</x:v>
      </x:c>
      <x:c r="I10" s="36" t="str">
        <x:f>IF(AND($D10&lt;&gt;"",$D10&lt;=EOMONTH(I$5,0),$E10&gt;=I$5),"X","")</x:f>
      </x:c>
      <x:c r="J10" s="36" t="str">
        <x:f>IF(AND($D10&lt;&gt;"",$D10&lt;=EOMONTH(J$5,0),$E10&gt;=J$5),"X","")</x:f>
        <x:v>X</x:v>
      </x:c>
      <x:c r="K10" s="36" t="str">
        <x:f>IF(AND($D10&lt;&gt;"",$D10&lt;=EOMONTH(K$5,0),$E10&gt;=K$5),"X","")</x:f>
        <x:v>X</x:v>
      </x:c>
      <x:c r="L10" s="36" t="str">
        <x:f>IF(AND($D10&lt;&gt;"",$D10&lt;=EOMONTH(L$5,0),$E10&gt;=L$5),"X","")</x:f>
        <x:v>X</x:v>
      </x:c>
      <x:c r="M10" s="36" t="str">
        <x:f>IF(AND($D10&lt;&gt;"",$D10&lt;=EOMONTH(M$5,0),$E10&gt;=M$5),"X","")</x:f>
        <x:v>X</x:v>
      </x:c>
      <x:c r="N10" s="36" t="str">
        <x:f>IF(AND($D10&lt;&gt;"",$D10&lt;=EOMONTH(N$5,0),$E10&gt;=N$5),"X","")</x:f>
        <x:v>X</x:v>
      </x:c>
      <x:c r="O10" s="36" t="str">
        <x:f>IF(AND($D10&lt;&gt;"",$D10&lt;=EOMONTH(O$5,0),$E10&gt;=O$5),"X","")</x:f>
        <x:v>X</x:v>
      </x:c>
      <x:c r="P10" s="36" t="str">
        <x:f>IF(AND($D10&lt;&gt;"",$D10&lt;=EOMONTH(P$5,0),$E10&gt;=P$5),"X","")</x:f>
        <x:v>X</x:v>
      </x:c>
      <x:c r="Q10" s="36" t="str">
        <x:f>IF(AND($D10&lt;&gt;"",$D10&lt;=EOMONTH(Q$5,0),$E10&gt;=Q$5),"X","")</x:f>
      </x:c>
    </x:row>
    <x:row r="11" ht="44" customHeight="1">
      <x:c r="A11" s="22" t="str">
        <x:v>Core booking system complete</x:v>
      </x:c>
      <x:c r="B11" s="24" t="n">
        <x:v>46081</x:v>
      </x:c>
      <x:c r="C11" s="24" t="n">
        <x:v>46081</x:v>
      </x:c>
      <x:c r="D11" s="24" t="n">
        <x:v>46093</x:v>
      </x:c>
      <x:c r="E11" s="24" t="n">
        <x:v>46093</x:v>
      </x:c>
      <x:c r="F11" s="26" t="n">
        <x:f>E11-C11</x:f>
        <x:v>12</x:v>
      </x:c>
      <x:c r="G11" s="22" t="str">
        <x:v>Lead Developer</x:v>
      </x:c>
      <x:c r="H11" s="22" t="str">
        <x:v>Feature completion ticket closed</x:v>
      </x:c>
      <x:c r="I11" s="36" t="str">
        <x:f>IF(AND($D11&lt;&gt;"",$D11&lt;=EOMONTH(I$5,0),$E11&gt;=I$5),"X","")</x:f>
      </x:c>
      <x:c r="J11" s="36" t="str">
        <x:f>IF(AND($D11&lt;&gt;"",$D11&lt;=EOMONTH(J$5,0),$E11&gt;=J$5),"X","")</x:f>
      </x:c>
      <x:c r="K11" s="36" t="str">
        <x:f>IF(AND($D11&lt;&gt;"",$D11&lt;=EOMONTH(K$5,0),$E11&gt;=K$5),"X","")</x:f>
      </x:c>
      <x:c r="L11" s="36" t="str">
        <x:f>IF(AND($D11&lt;&gt;"",$D11&lt;=EOMONTH(L$5,0),$E11&gt;=L$5),"X","")</x:f>
      </x:c>
      <x:c r="M11" s="36" t="str">
        <x:f>IF(AND($D11&lt;&gt;"",$D11&lt;=EOMONTH(M$5,0),$E11&gt;=M$5),"X","")</x:f>
      </x:c>
      <x:c r="N11" s="36" t="str">
        <x:f>IF(AND($D11&lt;&gt;"",$D11&lt;=EOMONTH(N$5,0),$E11&gt;=N$5),"X","")</x:f>
        <x:v>X</x:v>
      </x:c>
      <x:c r="O11" s="36" t="str">
        <x:f>IF(AND($D11&lt;&gt;"",$D11&lt;=EOMONTH(O$5,0),$E11&gt;=O$5),"X","")</x:f>
      </x:c>
      <x:c r="P11" s="36" t="str">
        <x:f>IF(AND($D11&lt;&gt;"",$D11&lt;=EOMONTH(P$5,0),$E11&gt;=P$5),"X","")</x:f>
      </x:c>
      <x:c r="Q11" s="36" t="str">
        <x:f>IF(AND($D11&lt;&gt;"",$D11&lt;=EOMONTH(Q$5,0),$E11&gt;=Q$5),"X","")</x:f>
      </x:c>
    </x:row>
    <x:row r="12" ht="44" customHeight="1">
      <x:c r="A12" s="22" t="str">
        <x:v>Paystack integration complete</x:v>
      </x:c>
      <x:c r="B12" s="24" t="n">
        <x:v>46096</x:v>
      </x:c>
      <x:c r="C12" s="24" t="n">
        <x:v>46096</x:v>
      </x:c>
      <x:c r="D12" s="24" t="n">
        <x:v>46109</x:v>
      </x:c>
      <x:c r="E12" s="24" t="n">
        <x:v>46109</x:v>
      </x:c>
      <x:c r="F12" s="26" t="n">
        <x:f>E12-C12</x:f>
        <x:v>13</x:v>
      </x:c>
      <x:c r="G12" s="22" t="str">
        <x:v>Developer 2</x:v>
      </x:c>
      <x:c r="H12" s="22" t="str">
        <x:v>Payment success testing log</x:v>
      </x:c>
      <x:c r="I12" s="36" t="str">
        <x:f>IF(AND($D12&lt;&gt;"",$D12&lt;=EOMONTH(I$5,0),$E12&gt;=I$5),"X","")</x:f>
      </x:c>
      <x:c r="J12" s="36" t="str">
        <x:f>IF(AND($D12&lt;&gt;"",$D12&lt;=EOMONTH(J$5,0),$E12&gt;=J$5),"X","")</x:f>
      </x:c>
      <x:c r="K12" s="36" t="str">
        <x:f>IF(AND($D12&lt;&gt;"",$D12&lt;=EOMONTH(K$5,0),$E12&gt;=K$5),"X","")</x:f>
      </x:c>
      <x:c r="L12" s="36" t="str">
        <x:f>IF(AND($D12&lt;&gt;"",$D12&lt;=EOMONTH(L$5,0),$E12&gt;=L$5),"X","")</x:f>
      </x:c>
      <x:c r="M12" s="36" t="str">
        <x:f>IF(AND($D12&lt;&gt;"",$D12&lt;=EOMONTH(M$5,0),$E12&gt;=M$5),"X","")</x:f>
      </x:c>
      <x:c r="N12" s="36" t="str">
        <x:f>IF(AND($D12&lt;&gt;"",$D12&lt;=EOMONTH(N$5,0),$E12&gt;=N$5),"X","")</x:f>
        <x:v>X</x:v>
      </x:c>
      <x:c r="O12" s="36" t="str">
        <x:f>IF(AND($D12&lt;&gt;"",$D12&lt;=EOMONTH(O$5,0),$E12&gt;=O$5),"X","")</x:f>
      </x:c>
      <x:c r="P12" s="36" t="str">
        <x:f>IF(AND($D12&lt;&gt;"",$D12&lt;=EOMONTH(P$5,0),$E12&gt;=P$5),"X","")</x:f>
      </x:c>
      <x:c r="Q12" s="36" t="str">
        <x:f>IF(AND($D12&lt;&gt;"",$D12&lt;=EOMONTH(Q$5,0),$E12&gt;=Q$5),"X","")</x:f>
      </x:c>
    </x:row>
    <x:row r="13" ht="44" customHeight="1">
      <x:c r="A13" s="22" t="str">
        <x:v>Barber onboarding process live</x:v>
      </x:c>
      <x:c r="B13" s="24" t="n">
        <x:v>46117</x:v>
      </x:c>
      <x:c r="C13" s="24" t="n">
        <x:v>46117</x:v>
      </x:c>
      <x:c r="D13" s="24" t="n">
        <x:v>46122</x:v>
      </x:c>
      <x:c r="E13" s="24" t="n">
        <x:v>46122</x:v>
      </x:c>
      <x:c r="F13" s="26" t="n">
        <x:f>E13-C13</x:f>
        <x:v>5</x:v>
      </x:c>
      <x:c r="G13" s="22" t="str">
        <x:v>Operations</x:v>
      </x:c>
      <x:c r="H13" s="22" t="str">
        <x:v>Onboarding checklist v1.2</x:v>
      </x:c>
      <x:c r="I13" s="36" t="str">
        <x:f>IF(AND($D13&lt;&gt;"",$D13&lt;=EOMONTH(I$5,0),$E13&gt;=I$5),"X","")</x:f>
      </x:c>
      <x:c r="J13" s="36" t="str">
        <x:f>IF(AND($D13&lt;&gt;"",$D13&lt;=EOMONTH(J$5,0),$E13&gt;=J$5),"X","")</x:f>
      </x:c>
      <x:c r="K13" s="36" t="str">
        <x:f>IF(AND($D13&lt;&gt;"",$D13&lt;=EOMONTH(K$5,0),$E13&gt;=K$5),"X","")</x:f>
      </x:c>
      <x:c r="L13" s="36" t="str">
        <x:f>IF(AND($D13&lt;&gt;"",$D13&lt;=EOMONTH(L$5,0),$E13&gt;=L$5),"X","")</x:f>
      </x:c>
      <x:c r="M13" s="36" t="str">
        <x:f>IF(AND($D13&lt;&gt;"",$D13&lt;=EOMONTH(M$5,0),$E13&gt;=M$5),"X","")</x:f>
      </x:c>
      <x:c r="N13" s="36" t="str">
        <x:f>IF(AND($D13&lt;&gt;"",$D13&lt;=EOMONTH(N$5,0),$E13&gt;=N$5),"X","")</x:f>
      </x:c>
      <x:c r="O13" s="36" t="str">
        <x:f>IF(AND($D13&lt;&gt;"",$D13&lt;=EOMONTH(O$5,0),$E13&gt;=O$5),"X","")</x:f>
        <x:v>X</x:v>
      </x:c>
      <x:c r="P13" s="36" t="str">
        <x:f>IF(AND($D13&lt;&gt;"",$D13&lt;=EOMONTH(P$5,0),$E13&gt;=P$5),"X","")</x:f>
      </x:c>
      <x:c r="Q13" s="36" t="str">
        <x:f>IF(AND($D13&lt;&gt;"",$D13&lt;=EOMONTH(Q$5,0),$E13&gt;=Q$5),"X","")</x:f>
      </x:c>
    </x:row>
    <x:row r="14" ht="44" customHeight="1">
      <x:c r="A14" s="22" t="str">
        <x:v>Soft launch: internal, friends &amp; family</x:v>
      </x:c>
      <x:c r="B14" s="24" t="n">
        <x:v>46132</x:v>
      </x:c>
      <x:c r="C14" s="24" t="n">
        <x:v>46132</x:v>
      </x:c>
      <x:c r="D14" s="24" t="n">
        <x:v>46137</x:v>
      </x:c>
      <x:c r="E14" s="24" t="n">
        <x:v>46137</x:v>
      </x:c>
      <x:c r="F14" s="26" t="n">
        <x:f>E14-C14</x:f>
        <x:v>5</x:v>
      </x:c>
      <x:c r="G14" s="22" t="str">
        <x:v>Precious</x:v>
      </x:c>
      <x:c r="H14" s="22" t="str">
        <x:v>Soft-launch report</x:v>
      </x:c>
      <x:c r="I14" s="36" t="str">
        <x:f>IF(AND($D14&lt;&gt;"",$D14&lt;=EOMONTH(I$5,0),$E14&gt;=I$5),"X","")</x:f>
      </x:c>
      <x:c r="J14" s="36" t="str">
        <x:f>IF(AND($D14&lt;&gt;"",$D14&lt;=EOMONTH(J$5,0),$E14&gt;=J$5),"X","")</x:f>
      </x:c>
      <x:c r="K14" s="36" t="str">
        <x:f>IF(AND($D14&lt;&gt;"",$D14&lt;=EOMONTH(K$5,0),$E14&gt;=K$5),"X","")</x:f>
      </x:c>
      <x:c r="L14" s="36" t="str">
        <x:f>IF(AND($D14&lt;&gt;"",$D14&lt;=EOMONTH(L$5,0),$E14&gt;=L$5),"X","")</x:f>
      </x:c>
      <x:c r="M14" s="36" t="str">
        <x:f>IF(AND($D14&lt;&gt;"",$D14&lt;=EOMONTH(M$5,0),$E14&gt;=M$5),"X","")</x:f>
      </x:c>
      <x:c r="N14" s="36" t="str">
        <x:f>IF(AND($D14&lt;&gt;"",$D14&lt;=EOMONTH(N$5,0),$E14&gt;=N$5),"X","")</x:f>
      </x:c>
      <x:c r="O14" s="36" t="str">
        <x:f>IF(AND($D14&lt;&gt;"",$D14&lt;=EOMONTH(O$5,0),$E14&gt;=O$5),"X","")</x:f>
        <x:v>X</x:v>
      </x:c>
      <x:c r="P14" s="36" t="str">
        <x:f>IF(AND($D14&lt;&gt;"",$D14&lt;=EOMONTH(P$5,0),$E14&gt;=P$5),"X","")</x:f>
      </x:c>
      <x:c r="Q14" s="36" t="str">
        <x:f>IF(AND($D14&lt;&gt;"",$D14&lt;=EOMONTH(Q$5,0),$E14&gt;=Q$5),"X","")</x:f>
      </x:c>
    </x:row>
    <x:row r="15" ht="44" customHeight="1">
      <x:c r="A15" s="22" t="str">
        <x:v>Planned public launch: original baseline</x:v>
      </x:c>
      <x:c r="B15" s="24" t="n">
        <x:v>46147</x:v>
      </x:c>
      <x:c r="C15" s="24" t="n">
        <x:v>46147</x:v>
      </x:c>
      <x:c r="D15" s="24"/>
      <x:c r="E15" s="24"/>
      <x:c r="F15" s="26"/>
      <x:c r="G15" s="22" t="str">
        <x:v>Not supplied</x:v>
      </x:c>
      <x:c r="H15" s="22" t="str">
        <x:v>Original baseline</x:v>
      </x:c>
      <x:c r="I15" s="36" t="str">
        <x:f>IF(AND($D15&lt;&gt;"",$D15&lt;=EOMONTH(I$5,0),$E15&gt;=I$5),"X","")</x:f>
      </x:c>
      <x:c r="J15" s="36" t="str">
        <x:f>IF(AND($D15&lt;&gt;"",$D15&lt;=EOMONTH(J$5,0),$E15&gt;=J$5),"X","")</x:f>
      </x:c>
      <x:c r="K15" s="36" t="str">
        <x:f>IF(AND($D15&lt;&gt;"",$D15&lt;=EOMONTH(K$5,0),$E15&gt;=K$5),"X","")</x:f>
      </x:c>
      <x:c r="L15" s="36" t="str">
        <x:f>IF(AND($D15&lt;&gt;"",$D15&lt;=EOMONTH(L$5,0),$E15&gt;=L$5),"X","")</x:f>
      </x:c>
      <x:c r="M15" s="36" t="str">
        <x:f>IF(AND($D15&lt;&gt;"",$D15&lt;=EOMONTH(M$5,0),$E15&gt;=M$5),"X","")</x:f>
      </x:c>
      <x:c r="N15" s="36" t="str">
        <x:f>IF(AND($D15&lt;&gt;"",$D15&lt;=EOMONTH(N$5,0),$E15&gt;=N$5),"X","")</x:f>
      </x:c>
      <x:c r="O15" s="36" t="str">
        <x:f>IF(AND($D15&lt;&gt;"",$D15&lt;=EOMONTH(O$5,0),$E15&gt;=O$5),"X","")</x:f>
      </x:c>
      <x:c r="P15" s="36" t="str">
        <x:f>IF(AND($D15&lt;&gt;"",$D15&lt;=EOMONTH(P$5,0),$E15&gt;=P$5),"X","")</x:f>
      </x:c>
      <x:c r="Q15" s="36" t="str">
        <x:f>IF(AND($D15&lt;&gt;"",$D15&lt;=EOMONTH(Q$5,0),$E15&gt;=Q$5),"X","")</x:f>
      </x:c>
    </x:row>
    <x:row r="16" ht="44" customHeight="1">
      <x:c r="A16" s="22" t="str">
        <x:v>Actual public launch</x:v>
      </x:c>
      <x:c r="B16" s="24" t="n">
        <x:v>46147</x:v>
      </x:c>
      <x:c r="C16" s="24" t="n">
        <x:v>46147</x:v>
      </x:c>
      <x:c r="D16" s="24" t="n">
        <x:v>46168</x:v>
      </x:c>
      <x:c r="E16" s="24" t="n">
        <x:v>46168</x:v>
      </x:c>
      <x:c r="F16" s="26" t="n">
        <x:f>E16-C16</x:f>
        <x:v>21</x:v>
      </x:c>
      <x:c r="G16" s="22" t="str">
        <x:v>Precious + Founders</x:v>
      </x:c>
      <x:c r="H16" s="22" t="str">
        <x:v>Go-live authorization</x:v>
      </x:c>
      <x:c r="I16" s="36" t="str">
        <x:f>IF(AND($D16&lt;&gt;"",$D16&lt;=EOMONTH(I$5,0),$E16&gt;=I$5),"X","")</x:f>
      </x:c>
      <x:c r="J16" s="36" t="str">
        <x:f>IF(AND($D16&lt;&gt;"",$D16&lt;=EOMONTH(J$5,0),$E16&gt;=J$5),"X","")</x:f>
      </x:c>
      <x:c r="K16" s="36" t="str">
        <x:f>IF(AND($D16&lt;&gt;"",$D16&lt;=EOMONTH(K$5,0),$E16&gt;=K$5),"X","")</x:f>
      </x:c>
      <x:c r="L16" s="36" t="str">
        <x:f>IF(AND($D16&lt;&gt;"",$D16&lt;=EOMONTH(L$5,0),$E16&gt;=L$5),"X","")</x:f>
      </x:c>
      <x:c r="M16" s="36" t="str">
        <x:f>IF(AND($D16&lt;&gt;"",$D16&lt;=EOMONTH(M$5,0),$E16&gt;=M$5),"X","")</x:f>
      </x:c>
      <x:c r="N16" s="36" t="str">
        <x:f>IF(AND($D16&lt;&gt;"",$D16&lt;=EOMONTH(N$5,0),$E16&gt;=N$5),"X","")</x:f>
      </x:c>
      <x:c r="O16" s="36" t="str">
        <x:f>IF(AND($D16&lt;&gt;"",$D16&lt;=EOMONTH(O$5,0),$E16&gt;=O$5),"X","")</x:f>
      </x:c>
      <x:c r="P16" s="36" t="str">
        <x:f>IF(AND($D16&lt;&gt;"",$D16&lt;=EOMONTH(P$5,0),$E16&gt;=P$5),"X","")</x:f>
        <x:v>X</x:v>
      </x:c>
      <x:c r="Q16" s="36" t="str">
        <x:f>IF(AND($D16&lt;&gt;"",$D16&lt;=EOMONTH(Q$5,0),$E16&gt;=Q$5),"X","")</x:f>
      </x:c>
    </x:row>
    <x:row r="17" ht="44" customHeight="1">
      <x:c r="A17" s="22" t="str">
        <x:v>Post-launch stabilization</x:v>
      </x:c>
      <x:c r="B17" s="24" t="n">
        <x:v>46168</x:v>
      </x:c>
      <x:c r="C17" s="24" t="n">
        <x:v>46188</x:v>
      </x:c>
      <x:c r="D17" s="24" t="n">
        <x:v>46168</x:v>
      </x:c>
      <x:c r="E17" s="24" t="n">
        <x:v>46193</x:v>
      </x:c>
      <x:c r="F17" s="26" t="n">
        <x:f>E17-C17</x:f>
        <x:v>5</x:v>
      </x:c>
      <x:c r="G17" s="22" t="str">
        <x:v>Precious</x:v>
      </x:c>
      <x:c r="H17" s="22" t="str">
        <x:v>Hypercare log</x:v>
      </x:c>
      <x:c r="I17" s="36" t="str">
        <x:f>IF(AND($D17&lt;&gt;"",$D17&lt;=EOMONTH(I$5,0),$E17&gt;=I$5),"X","")</x:f>
      </x:c>
      <x:c r="J17" s="36" t="str">
        <x:f>IF(AND($D17&lt;&gt;"",$D17&lt;=EOMONTH(J$5,0),$E17&gt;=J$5),"X","")</x:f>
      </x:c>
      <x:c r="K17" s="36" t="str">
        <x:f>IF(AND($D17&lt;&gt;"",$D17&lt;=EOMONTH(K$5,0),$E17&gt;=K$5),"X","")</x:f>
      </x:c>
      <x:c r="L17" s="36" t="str">
        <x:f>IF(AND($D17&lt;&gt;"",$D17&lt;=EOMONTH(L$5,0),$E17&gt;=L$5),"X","")</x:f>
      </x:c>
      <x:c r="M17" s="36" t="str">
        <x:f>IF(AND($D17&lt;&gt;"",$D17&lt;=EOMONTH(M$5,0),$E17&gt;=M$5),"X","")</x:f>
      </x:c>
      <x:c r="N17" s="36" t="str">
        <x:f>IF(AND($D17&lt;&gt;"",$D17&lt;=EOMONTH(N$5,0),$E17&gt;=N$5),"X","")</x:f>
      </x:c>
      <x:c r="O17" s="36" t="str">
        <x:f>IF(AND($D17&lt;&gt;"",$D17&lt;=EOMONTH(O$5,0),$E17&gt;=O$5),"X","")</x:f>
      </x:c>
      <x:c r="P17" s="36" t="str">
        <x:f>IF(AND($D17&lt;&gt;"",$D17&lt;=EOMONTH(P$5,0),$E17&gt;=P$5),"X","")</x:f>
        <x:v>X</x:v>
      </x:c>
      <x:c r="Q17" s="36" t="str">
        <x:f>IF(AND($D17&lt;&gt;"",$D17&lt;=EOMONTH(Q$5,0),$E17&gt;=Q$5),"X","")</x:f>
        <x:v>X</x:v>
      </x:c>
    </x:row>
    <x:row r="18" ht="44" customHeight="1">
      <x:c r="A18" s="22" t="str">
        <x:v>Project closure &amp; handover</x:v>
      </x:c>
      <x:c r="B18" s="24" t="n">
        <x:v>46193</x:v>
      </x:c>
      <x:c r="C18" s="24" t="n">
        <x:v>46193</x:v>
      </x:c>
      <x:c r="D18" s="24" t="n">
        <x:v>46198</x:v>
      </x:c>
      <x:c r="E18" s="24" t="n">
        <x:v>46198</x:v>
      </x:c>
      <x:c r="F18" s="26" t="n">
        <x:f>E18-C18</x:f>
        <x:v>5</x:v>
      </x:c>
      <x:c r="G18" s="22" t="str">
        <x:v>Precious</x:v>
      </x:c>
      <x:c r="H18" s="22" t="str">
        <x:v>Formal closure email; lessons learned</x:v>
      </x:c>
      <x:c r="I18" s="36" t="str">
        <x:f>IF(AND($D18&lt;&gt;"",$D18&lt;=EOMONTH(I$5,0),$E18&gt;=I$5),"X","")</x:f>
      </x:c>
      <x:c r="J18" s="36" t="str">
        <x:f>IF(AND($D18&lt;&gt;"",$D18&lt;=EOMONTH(J$5,0),$E18&gt;=J$5),"X","")</x:f>
      </x:c>
      <x:c r="K18" s="36" t="str">
        <x:f>IF(AND($D18&lt;&gt;"",$D18&lt;=EOMONTH(K$5,0),$E18&gt;=K$5),"X","")</x:f>
      </x:c>
      <x:c r="L18" s="36" t="str">
        <x:f>IF(AND($D18&lt;&gt;"",$D18&lt;=EOMONTH(L$5,0),$E18&gt;=L$5),"X","")</x:f>
      </x:c>
      <x:c r="M18" s="36" t="str">
        <x:f>IF(AND($D18&lt;&gt;"",$D18&lt;=EOMONTH(M$5,0),$E18&gt;=M$5),"X","")</x:f>
      </x:c>
      <x:c r="N18" s="36" t="str">
        <x:f>IF(AND($D18&lt;&gt;"",$D18&lt;=EOMONTH(N$5,0),$E18&gt;=N$5),"X","")</x:f>
      </x:c>
      <x:c r="O18" s="36" t="str">
        <x:f>IF(AND($D18&lt;&gt;"",$D18&lt;=EOMONTH(O$5,0),$E18&gt;=O$5),"X","")</x:f>
      </x:c>
      <x:c r="P18" s="36" t="str">
        <x:f>IF(AND($D18&lt;&gt;"",$D18&lt;=EOMONTH(P$5,0),$E18&gt;=P$5),"X","")</x:f>
      </x:c>
      <x:c r="Q18" s="36" t="str">
        <x:f>IF(AND($D18&lt;&gt;"",$D18&lt;=EOMONTH(Q$5,0),$E18&gt;=Q$5),"X","")</x:f>
        <x:v>X</x:v>
      </x:c>
    </x:row>
    <x:row r="19" ht="23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</x:row>
    <x:row r="20" ht="23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</x:row>
    <x:row r="21" ht="34" customHeight="1">
      <x:c r="A21" s="11" t="str">
        <x:v>Source A. Filled month cells show supplied actual dates or spans only; they do not invent phase durations. Original kickoff and sprint-cycle targets are not treated as completion deadlines.</x:v>
      </x:c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</x:row>
    <x:row r="22" ht="23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</x:row>
    <x:row r="23" ht="23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</x:row>
    <x:row r="24" ht="23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</x:row>
  </x:sheetData>
  <x:mergeCells>
    <x:mergeCell ref="A1:Q1"/>
    <x:mergeCell ref="A2:Q2"/>
    <x:mergeCell ref="A3:Q3"/>
    <x:mergeCell ref="A21:Q21"/>
  </x:mergeCells>
  <x:conditionalFormatting sqref="F6:F18">
    <x:cfRule type="cellIs" dxfId="0" priority="1" operator="greaterThan">
      <x:formula>0</x:formula>
    </x:cfRule>
  </x:conditionalFormatting>
  <x:conditionalFormatting sqref="I6:Q18">
    <x:cfRule type="expression" dxfId="1" priority="2">
      <x:formula>I6="X"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335e97ea7c849a5"/>
  </x:tableParts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45" hidden="0" customWidth="1"/>
    <x:col min="3" max="3" width="13" hidden="0" customWidth="1"/>
    <x:col min="4" max="4" width="20" hidden="0" customWidth="1"/>
    <x:col min="5" max="5" width="16" hidden="0" customWidth="1"/>
    <x:col min="6" max="6" width="16" hidden="0" customWidth="1"/>
    <x:col min="7" max="7" width="17" hidden="0" customWidth="1"/>
    <x:col min="8" max="8" width="17" hidden="0" customWidth="1"/>
    <x:col min="9" max="9" width="18" hidden="0" customWidth="1"/>
    <x:col min="10" max="10" width="16" hidden="0" customWidth="1"/>
    <x:col min="11" max="11" width="15" hidden="0" customWidth="1"/>
    <x:col min="12" max="12" width="15" hidden="0" customWidth="1"/>
    <x:col min="13" max="13" width="32" hidden="0" customWidth="1"/>
  </x:cols>
  <x:sheetData>
    <x:row r="1" ht="36" customHeight="1">
      <x:c r="A1" s="7" t="str">
        <x:v>TRIMLY | Issue register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</x:row>
    <x:row r="2" ht="34" customHeight="1">
      <x:c r="A2" s="11" t="str">
        <x:v>Eight supplied issue records from the TRIM project; final status Done. This is a compiled register, not a native Jira export.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3" ht="32" customHeight="1">
      <x:c r="A3" s="16" t="str">
        <x:v>Compiled from project information supplied and confirmed by Precious Olusayo | Budget figures confidential</x:v>
      </x:c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</x:row>
    <x:row r="4" ht="23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5" ht="34" customHeight="1">
      <x:c r="A5" s="20" t="str">
        <x:v>Issue key</x:v>
      </x:c>
      <x:c r="B5" s="20" t="str">
        <x:v>Summary</x:v>
      </x:c>
      <x:c r="C5" s="20" t="str">
        <x:v>Type</x:v>
      </x:c>
      <x:c r="D5" s="20" t="str">
        <x:v>Epic</x:v>
      </x:c>
      <x:c r="E5" s="20" t="str">
        <x:v>Assignee</x:v>
      </x:c>
      <x:c r="F5" s="20" t="str">
        <x:v>Reporter</x:v>
      </x:c>
      <x:c r="G5" s="20" t="str">
        <x:v>Created</x:v>
      </x:c>
      <x:c r="H5" s="20" t="str">
        <x:v>Resolved</x:v>
      </x:c>
      <x:c r="I5" s="20" t="str">
        <x:v>Sprint / phase</x:v>
      </x:c>
      <x:c r="J5" s="20" t="str">
        <x:v>Final status</x:v>
      </x:c>
      <x:c r="K5" s="20" t="str">
        <x:v>Priority</x:v>
      </x:c>
      <x:c r="L5" s="20" t="str">
        <x:v>Elapsed days</x:v>
      </x:c>
      <x:c r="M5" s="20" t="str">
        <x:v>Source</x:v>
      </x:c>
    </x:row>
    <x:row r="6" ht="50" customHeight="1">
      <x:c r="A6" s="22" t="str">
        <x:v>TRIM-12</x:v>
      </x:c>
      <x:c r="B6" s="22" t="str">
        <x:v>Create web booking form - location, service, time</x:v>
      </x:c>
      <x:c r="C6" s="22" t="str">
        <x:v>Story</x:v>
      </x:c>
      <x:c r="D6" s="22" t="str">
        <x:v>Booking Core</x:v>
      </x:c>
      <x:c r="E6" s="22" t="str">
        <x:v>Dev 1</x:v>
      </x:c>
      <x:c r="F6" s="22" t="str">
        <x:v>Precious</x:v>
      </x:c>
      <x:c r="G6" s="24" t="n">
        <x:v>45983</x:v>
      </x:c>
      <x:c r="H6" s="24" t="n">
        <x:v>45999</x:v>
      </x:c>
      <x:c r="I6" s="22" t="str">
        <x:v>Sprint 2</x:v>
      </x:c>
      <x:c r="J6" s="39" t="str">
        <x:v>Done</x:v>
      </x:c>
      <x:c r="K6" s="22" t="str">
        <x:v>High</x:v>
      </x:c>
      <x:c r="L6" s="26" t="n">
        <x:f>H6-G6</x:f>
        <x:v>16</x:v>
      </x:c>
      <x:c r="M6" s="22" t="str">
        <x:v>Supplied account, section B</x:v>
      </x:c>
    </x:row>
    <x:row r="7" ht="50" customHeight="1">
      <x:c r="A7" s="22" t="str">
        <x:v>TRIM-19</x:v>
      </x:c>
      <x:c r="B7" s="22" t="str">
        <x:v>Integrate Paystack payment gateway</x:v>
      </x:c>
      <x:c r="C7" s="22" t="str">
        <x:v>Story</x:v>
      </x:c>
      <x:c r="D7" s="22" t="str">
        <x:v>Payments</x:v>
      </x:c>
      <x:c r="E7" s="22" t="str">
        <x:v>Dev 2</x:v>
      </x:c>
      <x:c r="F7" s="22" t="str">
        <x:v>Precious</x:v>
      </x:c>
      <x:c r="G7" s="24" t="n">
        <x:v>45996</x:v>
      </x:c>
      <x:c r="H7" s="24" t="n">
        <x:v>46109</x:v>
      </x:c>
      <x:c r="I7" s="22" t="str">
        <x:v>Multiple</x:v>
      </x:c>
      <x:c r="J7" s="39" t="str">
        <x:v>Done</x:v>
      </x:c>
      <x:c r="K7" s="22" t="str">
        <x:v>Highest</x:v>
      </x:c>
      <x:c r="L7" s="26" t="n">
        <x:f>H7-G7</x:f>
        <x:v>113</x:v>
      </x:c>
      <x:c r="M7" s="22" t="str">
        <x:v>Supplied account, section B</x:v>
      </x:c>
    </x:row>
    <x:row r="8" ht="50" customHeight="1">
      <x:c r="A8" s="22" t="str">
        <x:v>TRIM-27</x:v>
      </x:c>
      <x:c r="B8" s="22" t="str">
        <x:v>Build simple barber allocation logic</x:v>
      </x:c>
      <x:c r="C8" s="22" t="str">
        <x:v>Story</x:v>
      </x:c>
      <x:c r="D8" s="22" t="str">
        <x:v>Operations</x:v>
      </x:c>
      <x:c r="E8" s="22" t="str">
        <x:v>Dev 1</x:v>
      </x:c>
      <x:c r="F8" s="22" t="str">
        <x:v>Precious</x:v>
      </x:c>
      <x:c r="G8" s="24" t="n">
        <x:v>46009</x:v>
      </x:c>
      <x:c r="H8" s="24" t="n">
        <x:v>46068</x:v>
      </x:c>
      <x:c r="I8" s="22" t="str">
        <x:v>Sprint 7</x:v>
      </x:c>
      <x:c r="J8" s="39" t="str">
        <x:v>Done</x:v>
      </x:c>
      <x:c r="K8" s="22" t="str">
        <x:v>High</x:v>
      </x:c>
      <x:c r="L8" s="26" t="n">
        <x:f>H8-G8</x:f>
        <x:v>59</x:v>
      </x:c>
      <x:c r="M8" s="22" t="str">
        <x:v>Supplied account, section B</x:v>
      </x:c>
    </x:row>
    <x:row r="9" ht="50" customHeight="1">
      <x:c r="A9" s="22" t="str">
        <x:v>TRIM-41</x:v>
      </x:c>
      <x:c r="B9" s="22" t="str">
        <x:v>WhatsApp notification templates for job assignment</x:v>
      </x:c>
      <x:c r="C9" s="22" t="str">
        <x:v>Task</x:v>
      </x:c>
      <x:c r="D9" s="22" t="str">
        <x:v>Operations</x:v>
      </x:c>
      <x:c r="E9" s="22" t="str">
        <x:v>Ops Lead</x:v>
      </x:c>
      <x:c r="F9" s="22" t="str">
        <x:v>Precious</x:v>
      </x:c>
      <x:c r="G9" s="24" t="n">
        <x:v>46034</x:v>
      </x:c>
      <x:c r="H9" s="24" t="n">
        <x:v>46084</x:v>
      </x:c>
      <x:c r="I9" s="22" t="str">
        <x:v>Sprint 9</x:v>
      </x:c>
      <x:c r="J9" s="39" t="str">
        <x:v>Done</x:v>
      </x:c>
      <x:c r="K9" s="22" t="str">
        <x:v>Medium</x:v>
      </x:c>
      <x:c r="L9" s="26" t="n">
        <x:f>H9-G9</x:f>
        <x:v>50</x:v>
      </x:c>
      <x:c r="M9" s="22" t="str">
        <x:v>Supplied account, section B</x:v>
      </x:c>
    </x:row>
    <x:row r="10" ht="50" customHeight="1">
      <x:c r="A10" s="22" t="str">
        <x:v>TRIM-58</x:v>
      </x:c>
      <x:c r="B10" s="22" t="str">
        <x:v>Fix booking confirmation email not sending</x:v>
      </x:c>
      <x:c r="C10" s="22" t="str">
        <x:v>Bug</x:v>
      </x:c>
      <x:c r="D10" s="22" t="str">
        <x:v>Booking Core</x:v>
      </x:c>
      <x:c r="E10" s="22" t="str">
        <x:v>Dev 2</x:v>
      </x:c>
      <x:c r="F10" s="22" t="str">
        <x:v>Precious</x:v>
      </x:c>
      <x:c r="G10" s="24" t="n">
        <x:v>46134</x:v>
      </x:c>
      <x:c r="H10" s="24" t="n">
        <x:v>46136</x:v>
      </x:c>
      <x:c r="I10" s="22" t="str">
        <x:v>Soft Launch</x:v>
      </x:c>
      <x:c r="J10" s="39" t="str">
        <x:v>Done</x:v>
      </x:c>
      <x:c r="K10" s="22" t="str">
        <x:v>Highest</x:v>
      </x:c>
      <x:c r="L10" s="26" t="n">
        <x:f>H10-G10</x:f>
        <x:v>2</x:v>
      </x:c>
      <x:c r="M10" s="22" t="str">
        <x:v>Supplied account, section B</x:v>
      </x:c>
    </x:row>
    <x:row r="11" ht="50" customHeight="1">
      <x:c r="A11" s="22" t="str">
        <x:v>TRIM-63</x:v>
      </x:c>
      <x:c r="B11" s="22" t="str">
        <x:v>Payment retry logic for failed transactions</x:v>
      </x:c>
      <x:c r="C11" s="22" t="str">
        <x:v>Story</x:v>
      </x:c>
      <x:c r="D11" s="22" t="str">
        <x:v>Payments</x:v>
      </x:c>
      <x:c r="E11" s="22" t="str">
        <x:v>Dev 2</x:v>
      </x:c>
      <x:c r="F11" s="22" t="str">
        <x:v>Precious</x:v>
      </x:c>
      <x:c r="G11" s="24" t="n">
        <x:v>46140</x:v>
      </x:c>
      <x:c r="H11" s="24" t="n">
        <x:v>46160</x:v>
      </x:c>
      <x:c r="I11" s="22" t="str">
        <x:v>Pre-Launch</x:v>
      </x:c>
      <x:c r="J11" s="39" t="str">
        <x:v>Done</x:v>
      </x:c>
      <x:c r="K11" s="22" t="str">
        <x:v>Highest</x:v>
      </x:c>
      <x:c r="L11" s="26" t="n">
        <x:f>H11-G11</x:f>
        <x:v>20</x:v>
      </x:c>
      <x:c r="M11" s="22" t="str">
        <x:v>Supplied account, section B</x:v>
      </x:c>
    </x:row>
    <x:row r="12" ht="50" customHeight="1">
      <x:c r="A12" s="22" t="str">
        <x:v>TRIM-71</x:v>
      </x:c>
      <x:c r="B12" s="22" t="str">
        <x:v>Soft-launch feedback - improve error messages</x:v>
      </x:c>
      <x:c r="C12" s="22" t="str">
        <x:v>Task</x:v>
      </x:c>
      <x:c r="D12" s="22" t="str">
        <x:v>UX</x:v>
      </x:c>
      <x:c r="E12" s="22" t="str">
        <x:v>Designer</x:v>
      </x:c>
      <x:c r="F12" s="22" t="str">
        <x:v>Precious</x:v>
      </x:c>
      <x:c r="G12" s="24" t="n">
        <x:v>46139</x:v>
      </x:c>
      <x:c r="H12" s="24" t="n">
        <x:v>46154</x:v>
      </x:c>
      <x:c r="I12" s="22" t="str">
        <x:v>Pre-Launch</x:v>
      </x:c>
      <x:c r="J12" s="39" t="str">
        <x:v>Done</x:v>
      </x:c>
      <x:c r="K12" s="22" t="str">
        <x:v>High</x:v>
      </x:c>
      <x:c r="L12" s="26" t="n">
        <x:f>H12-G12</x:f>
        <x:v>15</x:v>
      </x:c>
      <x:c r="M12" s="22" t="str">
        <x:v>Supplied account, section B</x:v>
      </x:c>
    </x:row>
    <x:row r="13" ht="50" customHeight="1">
      <x:c r="A13" s="22" t="str">
        <x:v>TRIM-79</x:v>
      </x:c>
      <x:c r="B13" s="22" t="str">
        <x:v>Go-live checklist completion</x:v>
      </x:c>
      <x:c r="C13" s="22" t="str">
        <x:v>Task</x:v>
      </x:c>
      <x:c r="D13" s="22" t="str">
        <x:v>Launch</x:v>
      </x:c>
      <x:c r="E13" s="22" t="str">
        <x:v>Precious</x:v>
      </x:c>
      <x:c r="F13" s="22" t="str">
        <x:v>Precious</x:v>
      </x:c>
      <x:c r="G13" s="24" t="n">
        <x:v>46162</x:v>
      </x:c>
      <x:c r="H13" s="24" t="n">
        <x:v>46168</x:v>
      </x:c>
      <x:c r="I13" s="22" t="str">
        <x:v>Launch</x:v>
      </x:c>
      <x:c r="J13" s="39" t="str">
        <x:v>Done</x:v>
      </x:c>
      <x:c r="K13" s="22" t="str">
        <x:v>Highest</x:v>
      </x:c>
      <x:c r="L13" s="26" t="n">
        <x:f>H13-G13</x:f>
        <x:v>6</x:v>
      </x:c>
      <x:c r="M13" s="22" t="str">
        <x:v>Supplied account, section B</x:v>
      </x:c>
    </x:row>
    <x:row r="14" ht="23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</x:row>
    <x:row r="15" ht="23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</x:row>
    <x:row r="16" ht="36" customHeight="1">
      <x:c r="A16" s="11" t="str">
        <x:v>Elapsed days = resolved date minus created date. It is calendar elapsed time, not effort, time-in-status or verified cycle time. Approximately 87 total tickets are referenced; only these eight were supplied.</x:v>
      </x:c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</x:row>
    <x:row r="17" ht="23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</x:row>
    <x:row r="18" ht="23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</x:row>
    <x:row r="19" ht="23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</x:row>
    <x:row r="20" ht="23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</x:row>
  </x:sheetData>
  <x:mergeCells>
    <x:mergeCell ref="A1:M1"/>
    <x:mergeCell ref="A2:M2"/>
    <x:mergeCell ref="A3:M3"/>
    <x:mergeCell ref="A16:M16"/>
  </x:mergeCells>
  <x:dataValidations count="2">
    <x:dataValidation type="list" sqref="J6:J13">
      <x:formula1>"To Do,In Progress,Code Review,Testing,Blocked,Done"</x:formula1>
    </x:dataValidation>
    <x:dataValidation type="list" sqref="K6:K13">
      <x:formula1>"Highest,High,Medium,Low,Lowest"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2c87b8ced043e4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8" hidden="0" customWidth="1"/>
    <x:col min="4" max="4" width="27" hidden="0" customWidth="1"/>
    <x:col min="5" max="5" width="38" hidden="0" customWidth="1"/>
  </x:cols>
  <x:sheetData>
    <x:row r="1" ht="36" customHeight="1">
      <x:c r="A1" s="7" t="str">
        <x:v>TRIMLY | Reported transition sequence</x:v>
      </x:c>
      <x:c r="B1" s="7"/>
      <x:c r="C1" s="7"/>
      <x:c r="D1" s="7"/>
      <x:c r="E1" s="7"/>
    </x:row>
    <x:row r="2" ht="34" customHeight="1">
      <x:c r="A2" s="11" t="str">
        <x:v>TRIM-19: Paystack payment gateway. Sequence preserved as supplied; timestamp and actor details are unavailable.</x:v>
      </x:c>
      <x:c r="B2" s="11"/>
      <x:c r="C2" s="11"/>
      <x:c r="D2" s="11"/>
      <x:c r="E2" s="11"/>
    </x:row>
    <x:row r="3" ht="32" customHeight="1">
      <x:c r="A3" s="16" t="str">
        <x:v>Compiled from project information supplied and confirmed by Precious Olusayo | Budget figures confidential</x:v>
      </x:c>
      <x:c r="B3" s="16"/>
      <x:c r="C3" s="16"/>
      <x:c r="D3" s="16"/>
      <x:c r="E3" s="16"/>
    </x:row>
    <x:row r="4" ht="23" customHeight="1">
      <x:c r="A4" s="3"/>
      <x:c r="B4" s="3"/>
      <x:c r="C4" s="3"/>
      <x:c r="D4" s="3"/>
      <x:c r="E4" s="3"/>
    </x:row>
    <x:row r="5" ht="34" customHeight="1">
      <x:c r="A5" s="20" t="str">
        <x:v>Issue key</x:v>
      </x:c>
      <x:c r="B5" s="20" t="str">
        <x:v>Sequence</x:v>
      </x:c>
      <x:c r="C5" s="20" t="str">
        <x:v>Status</x:v>
      </x:c>
      <x:c r="D5" s="20" t="str">
        <x:v>Transition timestamp</x:v>
      </x:c>
      <x:c r="E5" s="20" t="str">
        <x:v>Source</x:v>
      </x:c>
    </x:row>
    <x:row r="6" ht="30" customHeight="1">
      <x:c r="A6" s="22" t="str">
        <x:v>TRIM-19</x:v>
      </x:c>
      <x:c r="B6" s="22" t="n">
        <x:v>1</x:v>
      </x:c>
      <x:c r="C6" s="22" t="str">
        <x:v>To Do</x:v>
      </x:c>
      <x:c r="D6" s="22" t="str">
        <x:v>Not supplied</x:v>
      </x:c>
      <x:c r="E6" s="22" t="str">
        <x:v>Supplied account, section B</x:v>
      </x:c>
    </x:row>
    <x:row r="7" ht="30" customHeight="1">
      <x:c r="A7" s="22" t="str">
        <x:v>TRIM-19</x:v>
      </x:c>
      <x:c r="B7" s="22" t="n">
        <x:v>2</x:v>
      </x:c>
      <x:c r="C7" s="22" t="str">
        <x:v>In Progress</x:v>
      </x:c>
      <x:c r="D7" s="22" t="str">
        <x:v>Not supplied</x:v>
      </x:c>
      <x:c r="E7" s="22" t="str">
        <x:v>Supplied account, section B</x:v>
      </x:c>
    </x:row>
    <x:row r="8" ht="30" customHeight="1">
      <x:c r="A8" s="22" t="str">
        <x:v>TRIM-19</x:v>
      </x:c>
      <x:c r="B8" s="22" t="n">
        <x:v>3</x:v>
      </x:c>
      <x:c r="C8" s="22" t="str">
        <x:v>Code Review</x:v>
      </x:c>
      <x:c r="D8" s="22" t="str">
        <x:v>Not supplied</x:v>
      </x:c>
      <x:c r="E8" s="22" t="str">
        <x:v>Supplied account, section B</x:v>
      </x:c>
    </x:row>
    <x:row r="9" ht="30" customHeight="1">
      <x:c r="A9" s="22" t="str">
        <x:v>TRIM-19</x:v>
      </x:c>
      <x:c r="B9" s="22" t="n">
        <x:v>4</x:v>
      </x:c>
      <x:c r="C9" s="22" t="str">
        <x:v>Testing</x:v>
      </x:c>
      <x:c r="D9" s="22" t="str">
        <x:v>Not supplied</x:v>
      </x:c>
      <x:c r="E9" s="22" t="str">
        <x:v>Supplied account, section B</x:v>
      </x:c>
    </x:row>
    <x:row r="10" ht="30" customHeight="1">
      <x:c r="A10" s="22" t="str">
        <x:v>TRIM-19</x:v>
      </x:c>
      <x:c r="B10" s="22" t="n">
        <x:v>5</x:v>
      </x:c>
      <x:c r="C10" s="22" t="str">
        <x:v>Blocked (edge cases)</x:v>
      </x:c>
      <x:c r="D10" s="22" t="str">
        <x:v>Not supplied</x:v>
      </x:c>
      <x:c r="E10" s="22" t="str">
        <x:v>Supplied account, section B</x:v>
      </x:c>
    </x:row>
    <x:row r="11" ht="30" customHeight="1">
      <x:c r="A11" s="22" t="str">
        <x:v>TRIM-19</x:v>
      </x:c>
      <x:c r="B11" s="22" t="n">
        <x:v>6</x:v>
      </x:c>
      <x:c r="C11" s="22" t="str">
        <x:v>In Progress</x:v>
      </x:c>
      <x:c r="D11" s="22" t="str">
        <x:v>Not supplied</x:v>
      </x:c>
      <x:c r="E11" s="22" t="str">
        <x:v>Supplied account, section B</x:v>
      </x:c>
    </x:row>
    <x:row r="12" ht="30" customHeight="1">
      <x:c r="A12" s="22" t="str">
        <x:v>TRIM-19</x:v>
      </x:c>
      <x:c r="B12" s="22" t="n">
        <x:v>7</x:v>
      </x:c>
      <x:c r="C12" s="22" t="str">
        <x:v>Done</x:v>
      </x:c>
      <x:c r="D12" s="22" t="str">
        <x:v>Not supplied</x:v>
      </x:c>
      <x:c r="E12" s="22" t="str">
        <x:v>Supplied account, section B</x:v>
      </x:c>
    </x:row>
    <x:row r="13" ht="23" customHeight="1">
      <x:c r="A13" s="3"/>
      <x:c r="B13" s="3"/>
      <x:c r="C13" s="3"/>
      <x:c r="D13" s="3"/>
      <x:c r="E13" s="3"/>
    </x:row>
    <x:row r="14" ht="23" customHeight="1">
      <x:c r="A14" s="3"/>
      <x:c r="B14" s="3"/>
      <x:c r="C14" s="3"/>
      <x:c r="D14" s="3"/>
      <x:c r="E14" s="3"/>
    </x:row>
    <x:row r="15" ht="23" customHeight="1">
      <x:c r="A15" s="3"/>
      <x:c r="B15" s="3"/>
      <x:c r="C15" s="3"/>
      <x:c r="D15" s="3"/>
      <x:c r="E15" s="3"/>
    </x:row>
    <x:row r="16" ht="23" customHeight="1">
      <x:c r="A16" s="3"/>
      <x:c r="B16" s="3"/>
      <x:c r="C16" s="3"/>
      <x:c r="D16" s="3"/>
      <x:c r="E16" s="3"/>
    </x:row>
    <x:row r="17" ht="23" customHeight="1">
      <x:c r="A17" s="3"/>
      <x:c r="B17" s="3"/>
      <x:c r="C17" s="3"/>
      <x:c r="D17" s="3"/>
      <x:c r="E17" s="3"/>
    </x:row>
  </x:sheetData>
  <x:mergeCells>
    <x:mergeCell ref="A1:E1"/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5226a2f0ea2f4902"/>
  </x:tableParts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38" hidden="0" customWidth="1"/>
    <x:col min="3" max="3" width="49" hidden="0" customWidth="1"/>
    <x:col min="4" max="4" width="43" hidden="0" customWidth="1"/>
    <x:col min="5" max="5" width="25" hidden="0" customWidth="1"/>
    <x:col min="6" max="6" width="16" hidden="0" customWidth="1"/>
  </x:cols>
  <x:sheetData>
    <x:row r="1" ht="36" customHeight="1">
      <x:c r="A1" s="7" t="str">
        <x:v>TRIMLY | Scope and launch decisions</x:v>
      </x:c>
      <x:c r="B1" s="7"/>
      <x:c r="C1" s="7"/>
      <x:c r="D1" s="7"/>
      <x:c r="E1" s="7"/>
      <x:c r="F1" s="7"/>
    </x:row>
    <x:row r="2" ht="34" customHeight="1">
      <x:c r="A2" s="11" t="str">
        <x:v>Selected decision entries and decision-makers as reported in the supplied project account.</x:v>
      </x:c>
      <x:c r="B2" s="11"/>
      <x:c r="C2" s="11"/>
      <x:c r="D2" s="11"/>
      <x:c r="E2" s="11"/>
      <x:c r="F2" s="11"/>
    </x:row>
    <x:row r="3" ht="32" customHeight="1">
      <x:c r="A3" s="16" t="str">
        <x:v>Compiled from project information supplied and confirmed by Precious Olusayo | Budget figures confidential</x:v>
      </x:c>
      <x:c r="B3" s="16"/>
      <x:c r="C3" s="16"/>
      <x:c r="D3" s="16"/>
      <x:c r="E3" s="16"/>
      <x:c r="F3" s="16"/>
    </x:row>
    <x:row r="4" ht="23" customHeight="1">
      <x:c r="A4" s="3"/>
      <x:c r="B4" s="3"/>
      <x:c r="C4" s="3"/>
      <x:c r="D4" s="3"/>
      <x:c r="E4" s="3"/>
      <x:c r="F4" s="3"/>
    </x:row>
    <x:row r="5" ht="34" customHeight="1">
      <x:c r="A5" s="20" t="str">
        <x:v>Date</x:v>
      </x:c>
      <x:c r="B5" s="20" t="str">
        <x:v>Context</x:v>
      </x:c>
      <x:c r="C5" s="20" t="str">
        <x:v>Recorded decision</x:v>
      </x:c>
      <x:c r="D5" s="20" t="str">
        <x:v>Reason / purpose</x:v>
      </x:c>
      <x:c r="E5" s="20" t="str">
        <x:v>Decision-maker(s)</x:v>
      </x:c>
      <x:c r="F5" s="20" t="str">
        <x:v>Source section</x:v>
      </x:c>
    </x:row>
    <x:row r="6" ht="68" customHeight="1">
      <x:c r="A6" s="24" t="n">
        <x:v>46064</x:v>
      </x:c>
      <x:c r="B6" s="22" t="str">
        <x:v>iOS application requested in current phase</x:v>
      </x:c>
      <x:c r="C6" s="22" t="str">
        <x:v>Precious rejected the request</x:v>
      </x:c>
      <x:c r="D6" s="22" t="str">
        <x:v>Protect current-phase budget and timeline</x:v>
      </x:c>
      <x:c r="E6" s="22" t="str">
        <x:v>Precious</x:v>
      </x:c>
      <x:c r="F6" s="22" t="str">
        <x:v>C</x:v>
      </x:c>
    </x:row>
    <x:row r="7" ht="68" customHeight="1">
      <x:c r="A7" s="24" t="n">
        <x:v>46160</x:v>
      </x:c>
      <x:c r="B7" s="22" t="str">
        <x:v>Unresolved payment retry issues</x:v>
      </x:c>
      <x:c r="C7" s="22" t="str">
        <x:v>Precious recommended a three-week public-launch delay; founders approved</x:v>
      </x:c>
      <x:c r="D7" s="22" t="str">
        <x:v>Avoid launching with unresolved payment retry issues</x:v>
      </x:c>
      <x:c r="E7" s="22" t="str">
        <x:v>Precious + Founders</x:v>
      </x:c>
      <x:c r="F7" s="22" t="str">
        <x:v>A / C</x:v>
      </x:c>
    </x:row>
    <x:row r="8" ht="68" customHeight="1">
      <x:c r="A8" s="24" t="n">
        <x:v>46164</x:v>
      </x:c>
      <x:c r="B8" s="22" t="str">
        <x:v>Final go/no-go decision</x:v>
      </x:c>
      <x:c r="C8" s="22" t="str">
        <x:v>Precious confirmed all critical launch criteria met</x:v>
      </x:c>
      <x:c r="D8" s="22" t="str">
        <x:v>Readiness decision before launch</x:v>
      </x:c>
      <x:c r="E8" s="22" t="str">
        <x:v>Precious</x:v>
      </x:c>
      <x:c r="F8" s="22" t="str">
        <x:v>C</x:v>
      </x:c>
    </x:row>
    <x:row r="9" ht="23" customHeight="1">
      <x:c r="A9" s="3"/>
      <x:c r="B9" s="3"/>
      <x:c r="C9" s="3"/>
      <x:c r="D9" s="3"/>
      <x:c r="E9" s="3"/>
      <x:c r="F9" s="3"/>
    </x:row>
    <x:row r="10" ht="23" customHeight="1">
      <x:c r="A10" s="3"/>
      <x:c r="B10" s="3"/>
      <x:c r="C10" s="3"/>
      <x:c r="D10" s="3"/>
      <x:c r="E10" s="3"/>
      <x:c r="F10" s="3"/>
    </x:row>
    <x:row r="11" ht="23" customHeight="1">
      <x:c r="A11" s="3"/>
      <x:c r="B11" s="3"/>
      <x:c r="C11" s="3"/>
      <x:c r="D11" s="3"/>
      <x:c r="E11" s="3"/>
      <x:c r="F11" s="3"/>
    </x:row>
    <x:row r="12" ht="23" customHeight="1">
      <x:c r="A12" s="3"/>
      <x:c r="B12" s="3"/>
      <x:c r="C12" s="3"/>
      <x:c r="D12" s="3"/>
      <x:c r="E12" s="3"/>
      <x:c r="F12" s="3"/>
    </x:row>
    <x:row r="13" ht="23" customHeight="1">
      <x:c r="A13" s="3"/>
      <x:c r="B13" s="3"/>
      <x:c r="C13" s="3"/>
      <x:c r="D13" s="3"/>
      <x:c r="E13" s="3"/>
      <x:c r="F13" s="3"/>
    </x:row>
    <x:row r="14" ht="23" customHeight="1">
      <x:c r="A14" s="3"/>
      <x:c r="B14" s="3"/>
      <x:c r="C14" s="3"/>
      <x:c r="D14" s="3"/>
      <x:c r="E14" s="3"/>
      <x:c r="F14" s="3"/>
    </x:row>
    <x:row r="15" ht="23" customHeight="1">
      <x:c r="A15" s="3"/>
      <x:c r="B15" s="3"/>
      <x:c r="C15" s="3"/>
      <x:c r="D15" s="3"/>
      <x:c r="E15" s="3"/>
      <x:c r="F15" s="3"/>
    </x:row>
    <x:row r="16" ht="23" customHeight="1">
      <x:c r="A16" s="3"/>
      <x:c r="B16" s="3"/>
      <x:c r="C16" s="3"/>
      <x:c r="D16" s="3"/>
      <x:c r="E16" s="3"/>
      <x:c r="F16" s="3"/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b354e82fce44426c"/>
  </x:tableParts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1" hidden="0" customWidth="1"/>
    <x:col min="2" max="2" width="21" hidden="0" customWidth="1"/>
    <x:col min="3" max="3" width="55" hidden="0" customWidth="1"/>
    <x:col min="4" max="4" width="32" hidden="0" customWidth="1"/>
  </x:cols>
  <x:sheetData>
    <x:row r="1" ht="36" customHeight="1">
      <x:c r="A1" s="7" t="str">
        <x:v>TRIMLY | Risk register summary</x:v>
      </x:c>
      <x:c r="B1" s="7"/>
      <x:c r="C1" s="7"/>
      <x:c r="D1" s="7"/>
    </x:row>
    <x:row r="2" ht="34" customHeight="1">
      <x:c r="A2" s="11" t="str">
        <x:v>Four risk topics reported as tracked by Precious. Register last updated 15 May 2026; original scoring and full responses not supplied.</x:v>
      </x:c>
      <x:c r="B2" s="11"/>
      <x:c r="C2" s="11"/>
      <x:c r="D2" s="11"/>
    </x:row>
    <x:row r="3" ht="32" customHeight="1">
      <x:c r="A3" s="16" t="str">
        <x:v>Compiled from project information supplied and confirmed by Precious Olusayo | Budget figures confidential</x:v>
      </x:c>
      <x:c r="B3" s="16"/>
      <x:c r="C3" s="16"/>
      <x:c r="D3" s="16"/>
    </x:row>
    <x:row r="4" ht="23" customHeight="1">
      <x:c r="A4" s="3"/>
      <x:c r="B4" s="3"/>
      <x:c r="C4" s="3"/>
      <x:c r="D4" s="3"/>
    </x:row>
    <x:row r="5" ht="34" customHeight="1">
      <x:c r="A5" s="20" t="str">
        <x:v>Risk topic</x:v>
      </x:c>
      <x:c r="B5" s="20" t="str">
        <x:v>Tracked by</x:v>
      </x:c>
      <x:c r="C5" s="20" t="str">
        <x:v>Related supplied record</x:v>
      </x:c>
      <x:c r="D5" s="20" t="str">
        <x:v>Source</x:v>
      </x:c>
    </x:row>
    <x:row r="6" ht="56" customHeight="1">
      <x:c r="A6" s="22" t="str">
        <x:v>Payment failures during peak hours</x:v>
      </x:c>
      <x:c r="B6" s="22" t="str">
        <x:v>Precious</x:v>
      </x:c>
      <x:c r="C6" s="22" t="str">
        <x:v>Payment testing and retry work; 18 May delay decision</x:v>
      </x:c>
      <x:c r="D6" s="22" t="str">
        <x:v>Section C; see A / B</x:v>
      </x:c>
    </x:row>
    <x:row r="7" ht="56" customHeight="1">
      <x:c r="A7" s="22" t="str">
        <x:v>Barber no-shows</x:v>
      </x:c>
      <x:c r="B7" s="22" t="str">
        <x:v>Precious</x:v>
      </x:c>
      <x:c r="C7" s="22" t="str">
        <x:v>Risk topic recorded; no specific response supplied</x:v>
      </x:c>
      <x:c r="D7" s="22" t="str">
        <x:v>Section C</x:v>
      </x:c>
    </x:row>
    <x:row r="8" ht="56" customHeight="1">
      <x:c r="A8" s="22" t="str">
        <x:v>Scope creep from founders</x:v>
      </x:c>
      <x:c r="B8" s="22" t="str">
        <x:v>Precious</x:v>
      </x:c>
      <x:c r="C8" s="22" t="str">
        <x:v>11 February decision to exclude the iOS app in this phase</x:v>
      </x:c>
      <x:c r="D8" s="22" t="str">
        <x:v>Section C</x:v>
      </x:c>
    </x:row>
    <x:row r="9" ht="56" customHeight="1">
      <x:c r="A9" s="22" t="str">
        <x:v>Technical debt from rapid build</x:v>
      </x:c>
      <x:c r="B9" s="22" t="str">
        <x:v>Precious</x:v>
      </x:c>
      <x:c r="C9" s="22" t="str">
        <x:v>Risk topic recorded; no specific response supplied</x:v>
      </x:c>
      <x:c r="D9" s="22" t="str">
        <x:v>Section C</x:v>
      </x:c>
    </x:row>
    <x:row r="10" ht="23" customHeight="1">
      <x:c r="A10" s="3"/>
      <x:c r="B10" s="3"/>
      <x:c r="C10" s="3"/>
      <x:c r="D10" s="3"/>
    </x:row>
    <x:row r="11" ht="23" customHeight="1">
      <x:c r="A11" s="3"/>
      <x:c r="B11" s="3"/>
      <x:c r="C11" s="3"/>
      <x:c r="D11" s="3"/>
    </x:row>
    <x:row r="12" ht="23" customHeight="1">
      <x:c r="A12" s="3"/>
      <x:c r="B12" s="3"/>
      <x:c r="C12" s="3"/>
      <x:c r="D12" s="3"/>
    </x:row>
    <x:row r="13" ht="23" customHeight="1">
      <x:c r="A13" s="3"/>
      <x:c r="B13" s="3"/>
      <x:c r="C13" s="3"/>
      <x:c r="D13" s="3"/>
    </x:row>
    <x:row r="14" ht="23" customHeight="1">
      <x:c r="A14" s="3"/>
      <x:c r="B14" s="3"/>
      <x:c r="C14" s="3"/>
      <x:c r="D14" s="3"/>
    </x:row>
  </x:sheetData>
  <x:mergeCells>
    <x:mergeCell ref="A1:D1"/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450f65ce64b64f17"/>
  </x:tableParts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9" hidden="0" customWidth="1"/>
    <x:col min="4" max="4" width="51" hidden="0" customWidth="1"/>
    <x:col min="5" max="5" width="25" hidden="0" customWidth="1"/>
    <x:col min="6" max="6" width="43" hidden="0" customWidth="1"/>
    <x:col min="7" max="7" width="16" hidden="0" customWidth="1"/>
  </x:cols>
  <x:sheetData>
    <x:row r="1" ht="36" customHeight="1">
      <x:c r="A1" s="7" t="str">
        <x:v>TRIMLY | Launch and handover record</x:v>
      </x:c>
      <x:c r="B1" s="7"/>
      <x:c r="C1" s="7"/>
      <x:c r="D1" s="7"/>
      <x:c r="E1" s="7"/>
      <x:c r="F1" s="7"/>
      <x:c r="G1" s="7"/>
    </x:row>
    <x:row r="2" ht="34" customHeight="1">
      <x:c r="A2" s="11" t="str">
        <x:v>Reported readiness checks, approval events and post-launch controls. Approval summaries do not reproduce original signatures or approval emails.</x:v>
      </x:c>
      <x:c r="B2" s="11"/>
      <x:c r="C2" s="11"/>
      <x:c r="D2" s="11"/>
      <x:c r="E2" s="11"/>
      <x:c r="F2" s="11"/>
      <x:c r="G2" s="11"/>
    </x:row>
    <x:row r="3" ht="32" customHeight="1">
      <x:c r="A3" s="16" t="str">
        <x:v>Compiled from project information supplied and confirmed by Precious Olusayo | Budget figures confidential</x:v>
      </x:c>
      <x:c r="B3" s="16"/>
      <x:c r="C3" s="16"/>
      <x:c r="D3" s="16"/>
      <x:c r="E3" s="16"/>
      <x:c r="F3" s="16"/>
      <x:c r="G3" s="16"/>
    </x:row>
    <x:row r="4" ht="23" customHeight="1">
      <x:c r="A4" s="3"/>
      <x:c r="B4" s="3"/>
      <x:c r="C4" s="3"/>
      <x:c r="D4" s="3"/>
      <x:c r="E4" s="3"/>
      <x:c r="F4" s="3"/>
      <x:c r="G4" s="3"/>
    </x:row>
    <x:row r="5" ht="34" customHeight="1">
      <x:c r="A5" s="20" t="str">
        <x:v>Start / event date</x:v>
      </x:c>
      <x:c r="B5" s="20" t="str">
        <x:v>End date</x:v>
      </x:c>
      <x:c r="C5" s="20" t="str">
        <x:v>Record / event</x:v>
      </x:c>
      <x:c r="D5" s="20" t="str">
        <x:v>Reported result</x:v>
      </x:c>
      <x:c r="E5" s="20" t="str">
        <x:v>Owner / approver</x:v>
      </x:c>
      <x:c r="F5" s="20" t="str">
        <x:v>Detail</x:v>
      </x:c>
      <x:c r="G5" s="20" t="str">
        <x:v>Source section</x:v>
      </x:c>
    </x:row>
    <x:row r="6" ht="65" customHeight="1">
      <x:c r="A6" s="24" t="n">
        <x:v>46137</x:v>
      </x:c>
      <x:c r="B6" s="24" t="n">
        <x:v>46137</x:v>
      </x:c>
      <x:c r="C6" s="22" t="str">
        <x:v>Soft Launch Report</x:v>
      </x:c>
      <x:c r="D6" s="22" t="str">
        <x:v>Internal + friends-and-family soft launch</x:v>
      </x:c>
      <x:c r="E6" s="22" t="str">
        <x:v>Precious</x:v>
      </x:c>
      <x:c r="F6" s="22" t="str">
        <x:v>Report dated 25 Apr 2026</x:v>
      </x:c>
      <x:c r="G6" s="22" t="str">
        <x:v>A / D</x:v>
      </x:c>
    </x:row>
    <x:row r="7" ht="65" customHeight="1">
      <x:c r="A7" s="24" t="n">
        <x:v>46162</x:v>
      </x:c>
      <x:c r="B7" s="24" t="n">
        <x:v>46162</x:v>
      </x:c>
      <x:c r="C7" s="22" t="str">
        <x:v>UAT Summary</x:v>
      </x:c>
      <x:c r="D7" s="22" t="str">
        <x:v>14 critical/high bugs fixed; 3 medium bugs deferred</x:v>
      </x:c>
      <x:c r="E7" s="22" t="str">
        <x:v>Not supplied</x:v>
      </x:c>
      <x:c r="F7" s="22" t="str">
        <x:v>UAT summary dated 20 May 2026</x:v>
      </x:c>
      <x:c r="G7" s="22" t="str">
        <x:v>D</x:v>
      </x:c>
    </x:row>
    <x:row r="8" ht="65" customHeight="1">
      <x:c r="A8" s="24" t="n">
        <x:v>46164</x:v>
      </x:c>
      <x:c r="B8" s="24" t="n">
        <x:v>46164</x:v>
      </x:c>
      <x:c r="C8" s="22" t="str">
        <x:v>Final go/no-go decision</x:v>
      </x:c>
      <x:c r="D8" s="22" t="str">
        <x:v>All critical launch criteria confirmed met</x:v>
      </x:c>
      <x:c r="E8" s="22" t="str">
        <x:v>Precious</x:v>
      </x:c>
      <x:c r="F8" s="22" t="str">
        <x:v>Decision recorded in the selected decision log</x:v>
      </x:c>
      <x:c r="G8" s="22" t="str">
        <x:v>C</x:v>
      </x:c>
    </x:row>
    <x:row r="9" ht="65" customHeight="1">
      <x:c r="A9" s="24" t="n">
        <x:v>46167</x:v>
      </x:c>
      <x:c r="B9" s="24" t="n">
        <x:v>46167</x:v>
      </x:c>
      <x:c r="C9" s="22" t="str">
        <x:v>Launch Readiness Checklist</x:v>
      </x:c>
      <x:c r="D9" s="22" t="str">
        <x:v>Completed and signed off, as reported</x:v>
      </x:c>
      <x:c r="E9" s="22" t="str">
        <x:v>Precious</x:v>
      </x:c>
      <x:c r="F9" s="22" t="str">
        <x:v>Checklist completion and sign-off date</x:v>
      </x:c>
      <x:c r="G9" s="22" t="str">
        <x:v>D</x:v>
      </x:c>
    </x:row>
    <x:row r="10" ht="65" customHeight="1">
      <x:c r="A10" s="24" t="n">
        <x:v>46168</x:v>
      </x:c>
      <x:c r="B10" s="24" t="n">
        <x:v>46168</x:v>
      </x:c>
      <x:c r="C10" s="22" t="str">
        <x:v>Go-Live Authorization</x:v>
      </x:c>
      <x:c r="D10" s="22" t="str">
        <x:v>Both founders approved after Precious's recommendation</x:v>
      </x:c>
      <x:c r="E10" s="22" t="str">
        <x:v>Both founders</x:v>
      </x:c>
      <x:c r="F10" s="22" t="str">
        <x:v>Individual approver names / original signatures not supplied</x:v>
      </x:c>
      <x:c r="G10" s="22" t="str">
        <x:v>D</x:v>
      </x:c>
    </x:row>
    <x:row r="11" ht="65" customHeight="1">
      <x:c r="A11" s="24" t="n">
        <x:v>46168</x:v>
      </x:c>
      <x:c r="B11" s="24" t="n">
        <x:v>46193</x:v>
      </x:c>
      <x:c r="C11" s="22" t="str">
        <x:v>Hypercare Log</x:v>
      </x:c>
      <x:c r="D11" s="22" t="str">
        <x:v>Daily monitoring by Precious</x:v>
      </x:c>
      <x:c r="E11" s="22" t="str">
        <x:v>Precious</x:v>
      </x:c>
      <x:c r="F11" s="22" t="str">
        <x:v>Post-launch stabilization period</x:v>
      </x:c>
      <x:c r="G11" s="22" t="str">
        <x:v>A / D</x:v>
      </x:c>
    </x:row>
    <x:row r="12" ht="65" customHeight="1">
      <x:c r="A12" s="24" t="n">
        <x:v>46198</x:v>
      </x:c>
      <x:c r="B12" s="24" t="n">
        <x:v>46198</x:v>
      </x:c>
      <x:c r="C12" s="22" t="str">
        <x:v>Project Closure Email</x:v>
      </x:c>
      <x:c r="D12" s="22" t="str">
        <x:v>Closure email to founders; lessons learned attached, as reported</x:v>
      </x:c>
      <x:c r="E12" s="22" t="str">
        <x:v>Precious</x:v>
      </x:c>
      <x:c r="F12" s="22" t="str">
        <x:v>Closure and handover date</x:v>
      </x:c>
      <x:c r="G12" s="22" t="str">
        <x:v>A / D</x:v>
      </x:c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"/>
      <x:c r="E15" s="3"/>
      <x:c r="F15" s="3"/>
      <x:c r="G15" s="3"/>
    </x:row>
    <x:row r="16" ht="23" customHeight="1">
      <x:c r="A16" s="3"/>
      <x:c r="B16" s="3"/>
      <x:c r="C16" s="3"/>
      <x:c r="D16" s="3"/>
      <x:c r="E16" s="3"/>
      <x:c r="F16" s="3"/>
      <x:c r="G16" s="3"/>
    </x:row>
    <x:row r="17" ht="23" customHeight="1">
      <x:c r="A17" s="3"/>
      <x:c r="B17" s="3"/>
      <x:c r="C17" s="3"/>
      <x:c r="D17" s="3"/>
      <x:c r="E17" s="3"/>
      <x:c r="F17" s="3"/>
      <x:c r="G17" s="3"/>
    </x:row>
    <x:row r="18" ht="23" customHeight="1">
      <x:c r="A18" s="3"/>
      <x:c r="B18" s="3"/>
      <x:c r="C18" s="3"/>
      <x:c r="D18" s="3"/>
      <x:c r="E18" s="3"/>
      <x:c r="F18" s="3"/>
      <x:c r="G18" s="3"/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26f13260bd394278"/>
  </x:tableParts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27" hidden="0" customWidth="1"/>
    <x:col min="3" max="3" width="36" hidden="0" customWidth="1"/>
    <x:col min="4" max="4" width="43" hidden="0" customWidth="1"/>
    <x:col min="5" max="5" width="55" hidden="0" customWidth="1"/>
    <x:col min="6" max="6" width="33" hidden="0" customWidth="1"/>
  </x:cols>
  <x:sheetData>
    <x:row r="1" ht="36" customHeight="1">
      <x:c r="A1" s="7" t="str">
        <x:v>TRIMLY | Reported delivery outcomes</x:v>
      </x:c>
      <x:c r="B1" s="7"/>
      <x:c r="C1" s="7"/>
      <x:c r="D1" s="7"/>
      <x:c r="E1" s="7"/>
      <x:c r="F1" s="7"/>
    </x:row>
    <x:row r="2" ht="34" customHeight="1">
      <x:c r="A2" s="11" t="str">
        <x:v>Figures supplied and confirmed by the project manager. Referenced dashboards / exports are not bundled; reporting windows are preserved separately.</x:v>
      </x:c>
      <x:c r="B2" s="11"/>
      <x:c r="C2" s="11"/>
      <x:c r="D2" s="11"/>
      <x:c r="E2" s="11"/>
      <x:c r="F2" s="11"/>
    </x:row>
    <x:row r="3" ht="32" customHeight="1">
      <x:c r="A3" s="16" t="str">
        <x:v>Compiled from project information supplied and confirmed by Precious Olusayo | Budget figures confidential</x:v>
      </x:c>
      <x:c r="B3" s="16"/>
      <x:c r="C3" s="16"/>
      <x:c r="D3" s="16"/>
      <x:c r="E3" s="16"/>
      <x:c r="F3" s="16"/>
    </x:row>
    <x:row r="4" ht="23" customHeight="1">
      <x:c r="A4" s="3"/>
      <x:c r="B4" s="3"/>
      <x:c r="C4" s="3"/>
      <x:c r="D4" s="3"/>
      <x:c r="E4" s="3"/>
      <x:c r="F4" s="3"/>
    </x:row>
    <x:row r="5" ht="34" customHeight="1">
      <x:c r="A5" s="20" t="str">
        <x:v>Measure</x:v>
      </x:c>
      <x:c r="B5" s="20" t="str">
        <x:v>Reported value</x:v>
      </x:c>
      <x:c r="C5" s="20" t="str">
        <x:v>Reporting window</x:v>
      </x:c>
      <x:c r="D5" s="20" t="str">
        <x:v>Referenced record</x:v>
      </x:c>
      <x:c r="E5" s="20" t="str">
        <x:v>Definition / note</x:v>
      </x:c>
      <x:c r="F5" s="20" t="str">
        <x:v>Source</x:v>
      </x:c>
    </x:row>
    <x:row r="6" ht="64" customHeight="1">
      <x:c r="A6" s="22" t="str">
        <x:v>Project duration</x:v>
      </x:c>
      <x:c r="B6" s="22" t="str">
        <x:v>9 months</x:v>
      </x:c>
      <x:c r="C6" s="22" t="str">
        <x:v>October 2025 - June 2026</x:v>
      </x:c>
      <x:c r="D6" s="22" t="str">
        <x:v>Timeline: 6 Oct 2025 - 25 Jun 2026</x:v>
      </x:c>
      <x:c r="E6" s="22" t="str">
        <x:v>Source reports nine months; dates span nine named calendar months.</x:v>
      </x:c>
      <x:c r="F6" s="22" t="str">
        <x:v>Supplied account, section E</x:v>
      </x:c>
    </x:row>
    <x:row r="7" ht="64" customHeight="1">
      <x:c r="A7" s="22" t="str">
        <x:v>Cross-functional team</x:v>
      </x:c>
      <x:c r="B7" s="44" t="n">
        <x:v>8</x:v>
      </x:c>
      <x:c r="C7" s="22" t="str">
        <x:v>Project delivery period</x:v>
      </x:c>
      <x:c r="D7" s="22" t="str">
        <x:v>Team roster in kick-off notes</x:v>
      </x:c>
      <x:c r="E7" s="22" t="str">
        <x:v>Full named roster not included in the supplied account.</x:v>
      </x:c>
      <x:c r="F7" s="22" t="str">
        <x:v>Supplied account, section E</x:v>
      </x:c>
    </x:row>
    <x:row r="8" ht="64" customHeight="1">
      <x:c r="A8" s="22" t="str">
        <x:v>Budget performance</x:v>
      </x:c>
      <x:c r="B8" s="22" t="str">
        <x:v>Within approved budget</x:v>
      </x:c>
      <x:c r="C8" s="22" t="str">
        <x:v>Project closure</x:v>
      </x:c>
      <x:c r="D8" s="22" t="str">
        <x:v>Final budget tracker</x:v>
      </x:c>
      <x:c r="E8" s="22" t="str">
        <x:v>Amounts and spend breakdown withheld from this review package.</x:v>
      </x:c>
      <x:c r="F8" s="22" t="str">
        <x:v>Supplied account, section E</x:v>
      </x:c>
    </x:row>
    <x:row r="9" ht="64" customHeight="1">
      <x:c r="A9" s="22" t="str">
        <x:v>Launch variance</x:v>
      </x:c>
      <x:c r="B9" s="22" t="str">
        <x:v>3 weeks</x:v>
      </x:c>
      <x:c r="C9" s="22" t="str">
        <x:v>5 May to 26 May 2026</x:v>
      </x:c>
      <x:c r="D9" s="22" t="str">
        <x:v>Decision log and launch dates</x:v>
      </x:c>
      <x:c r="E9" s="22" t="str">
        <x:v>21 calendar days, calculated from the supplied dates.</x:v>
      </x:c>
      <x:c r="F9" s="22" t="str">
        <x:v>Supplied account, section E</x:v>
      </x:c>
    </x:row>
    <x:row r="10" ht="64" customHeight="1">
      <x:c r="A10" s="22" t="str">
        <x:v>Uptime</x:v>
      </x:c>
      <x:c r="B10" s="42" t="n">
        <x:v>0.99</x:v>
      </x:c>
      <x:c r="C10" s="22" t="str">
        <x:v>First 90 days after launch</x:v>
      </x:c>
      <x:c r="D10" s="22" t="str">
        <x:v>Post-launch monitoring dashboard</x:v>
      </x:c>
      <x:c r="E10" s="22" t="str">
        <x:v>Reported result; monitor configuration and denominator not supplied.</x:v>
      </x:c>
      <x:c r="F10" s="22" t="str">
        <x:v>Supplied account, section E</x:v>
      </x:c>
    </x:row>
    <x:row r="11" ht="64" customHeight="1">
      <x:c r="A11" s="22" t="str">
        <x:v>Payment success</x:v>
      </x:c>
      <x:c r="B11" s="42" t="n">
        <x:v>0.97</x:v>
      </x:c>
      <x:c r="C11" s="22" t="str">
        <x:v>Reporting period not specified separately</x:v>
      </x:c>
      <x:c r="D11" s="22" t="str">
        <x:v>Paystack export and internal reconciliation</x:v>
      </x:c>
      <x:c r="E11" s="22" t="str">
        <x:v>Reported result; payment-attempt population not supplied.</x:v>
      </x:c>
      <x:c r="F11" s="22" t="str">
        <x:v>Supplied account, section E</x:v>
      </x:c>
    </x:row>
    <x:row r="12" ht="64" customHeight="1">
      <x:c r="A12" s="22" t="str">
        <x:v>Booking completion</x:v>
      </x:c>
      <x:c r="B12" s="42" t="n">
        <x:v>0.76</x:v>
      </x:c>
      <x:c r="C12" s="22" t="str">
        <x:v>26 May - 25 Aug 2026</x:v>
      </x:c>
      <x:c r="D12" s="22" t="str">
        <x:v>Booking system analytics</x:v>
      </x:c>
      <x:c r="E12" s="22" t="str">
        <x:v>Reported result; original funnel definition not supplied.</x:v>
      </x:c>
      <x:c r="F12" s="22" t="str">
        <x:v>Supplied account, section E</x:v>
      </x:c>
    </x:row>
    <x:row r="13" ht="64" customHeight="1">
      <x:c r="A13" s="22" t="str">
        <x:v>Active barbers</x:v>
      </x:c>
      <x:c r="B13" s="44" t="n">
        <x:v>50</x:v>
      </x:c>
      <x:c r="C13" s="22" t="str">
        <x:v>Reporting date not specified separately</x:v>
      </x:c>
      <x:c r="D13" s="22" t="str">
        <x:v>Operations barber roster</x:v>
      </x:c>
      <x:c r="E13" s="22" t="str">
        <x:v>Reported result; activity definition not supplied.</x:v>
      </x:c>
      <x:c r="F13" s="22" t="str">
        <x:v>Supplied account, section E</x:v>
      </x:c>
    </x:row>
    <x:row r="14" ht="64" customHeight="1">
      <x:c r="A14" s="22" t="str">
        <x:v>Completed bookings</x:v>
      </x:c>
      <x:c r="B14" s="44" t="n">
        <x:v>210</x:v>
      </x:c>
      <x:c r="C14" s="22" t="str">
        <x:v>First three months after launch</x:v>
      </x:c>
      <x:c r="D14" s="22" t="str">
        <x:v>Booking system export</x:v>
      </x:c>
      <x:c r="E14" s="22" t="str">
        <x:v>Reported count; individual booking records not included.</x:v>
      </x:c>
      <x:c r="F14" s="22" t="str">
        <x:v>Supplied account, section E</x:v>
      </x:c>
    </x:row>
    <x:row r="15" ht="64" customHeight="1">
      <x:c r="A15" s="22" t="str">
        <x:v>30-day repeat rate</x:v>
      </x:c>
      <x:c r="B15" s="42" t="n">
        <x:v>0.24</x:v>
      </x:c>
      <x:c r="C15" s="22" t="str">
        <x:v>Post-launch report</x:v>
      </x:c>
      <x:c r="D15" s="22" t="str">
        <x:v>Cohort analysis</x:v>
      </x:c>
      <x:c r="E15" s="22" t="str">
        <x:v>Reported result; cohort denominator not supplied.</x:v>
      </x:c>
      <x:c r="F15" s="22" t="str">
        <x:v>Supplied account, section E</x:v>
      </x:c>
    </x:row>
    <x:row r="16" ht="23" customHeight="1">
      <x:c r="A16" s="3"/>
      <x:c r="B16" s="3"/>
      <x:c r="C16" s="3"/>
      <x:c r="D16" s="3"/>
      <x:c r="E16" s="3"/>
      <x:c r="F16" s="3"/>
    </x:row>
    <x:row r="17" ht="23" customHeight="1">
      <x:c r="A17" s="3"/>
      <x:c r="B17" s="3"/>
      <x:c r="C17" s="3"/>
      <x:c r="D17" s="3"/>
      <x:c r="E17" s="3"/>
      <x:c r="F17" s="3"/>
    </x:row>
    <x:row r="18" ht="23" customHeight="1">
      <x:c r="A18" s="3"/>
      <x:c r="B18" s="3"/>
      <x:c r="C18" s="3"/>
      <x:c r="D18" s="3"/>
      <x:c r="E18" s="3"/>
      <x:c r="F18" s="3"/>
    </x:row>
    <x:row r="19" ht="23" customHeight="1">
      <x:c r="A19" s="3"/>
      <x:c r="B19" s="3"/>
      <x:c r="C19" s="3"/>
      <x:c r="D19" s="3"/>
      <x:c r="E19" s="3"/>
      <x:c r="F19" s="3"/>
    </x:row>
    <x:row r="20" ht="23" customHeight="1">
      <x:c r="A20" s="3"/>
      <x:c r="B20" s="3"/>
      <x:c r="C20" s="3"/>
      <x:c r="D20" s="3"/>
      <x:c r="E20" s="3"/>
      <x:c r="F20" s="3"/>
    </x:row>
    <x:row r="21" ht="23" customHeight="1">
      <x:c r="A21" s="3"/>
      <x:c r="B21" s="3"/>
      <x:c r="C21" s="3"/>
      <x:c r="D21" s="3"/>
      <x:c r="E21" s="3"/>
      <x:c r="F21" s="3"/>
    </x:row>
    <x:row r="22" ht="23" customHeight="1">
      <x:c r="A22" s="3"/>
      <x:c r="B22" s="3"/>
      <x:c r="C22" s="3"/>
      <x:c r="D22" s="3"/>
      <x:c r="E22" s="3"/>
      <x:c r="F22" s="3"/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78f84eef889540d3"/>
  </x:tableParts>
</x:worksheet>
</file>

<file path=xl/worksheets/sheet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0" hidden="0" customWidth="1"/>
    <x:col min="2" max="2" width="29" hidden="0" customWidth="1"/>
    <x:col min="3" max="3" width="28" hidden="0" customWidth="1"/>
    <x:col min="4" max="4" width="22" hidden="0" customWidth="1"/>
    <x:col min="5" max="5" width="26" hidden="0" customWidth="1"/>
    <x:col min="6" max="6" width="18" hidden="0" customWidth="1"/>
    <x:col min="7" max="7" width="48" hidden="0" customWidth="1"/>
  </x:cols>
  <x:sheetData>
    <x:row r="1" ht="36" customHeight="1">
      <x:c r="A1" s="7" t="str">
        <x:v>TRIMLY | Referenced artifact index</x:v>
      </x:c>
      <x:c r="B1" s="7"/>
      <x:c r="C1" s="7"/>
      <x:c r="D1" s="7"/>
      <x:c r="E1" s="7"/>
      <x:c r="F1" s="7"/>
      <x:c r="G1" s="7"/>
    </x:row>
    <x:row r="2" ht="34" customHeight="1">
      <x:c r="A2" s="11" t="str">
        <x:v>The supplied account names the following historical artifacts. The original files themselves are not attached to this package.</x:v>
      </x:c>
      <x:c r="B2" s="11"/>
      <x:c r="C2" s="11"/>
      <x:c r="D2" s="11"/>
      <x:c r="E2" s="11"/>
      <x:c r="F2" s="11"/>
      <x:c r="G2" s="11"/>
    </x:row>
    <x:row r="3" ht="32" customHeight="1">
      <x:c r="A3" s="16" t="str">
        <x:v>Compiled from project information supplied and confirmed by Precious Olusayo | Budget figures confidential</x:v>
      </x:c>
      <x:c r="B3" s="16"/>
      <x:c r="C3" s="16"/>
      <x:c r="D3" s="16"/>
      <x:c r="E3" s="16"/>
      <x:c r="F3" s="16"/>
      <x:c r="G3" s="16"/>
    </x:row>
    <x:row r="4" ht="23" customHeight="1">
      <x:c r="A4" s="3"/>
      <x:c r="B4" s="3"/>
      <x:c r="C4" s="3"/>
      <x:c r="D4" s="3"/>
      <x:c r="E4" s="3"/>
      <x:c r="F4" s="3"/>
      <x:c r="G4" s="3"/>
    </x:row>
    <x:row r="5" ht="34" customHeight="1">
      <x:c r="A5" s="20" t="str">
        <x:v>Referenced artifact</x:v>
      </x:c>
      <x:c r="B5" s="20" t="str">
        <x:v>Reported original date</x:v>
      </x:c>
      <x:c r="C5" s="20" t="str">
        <x:v>Reported owner</x:v>
      </x:c>
      <x:c r="D5" s="20" t="str">
        <x:v>Type</x:v>
      </x:c>
      <x:c r="E5" s="20" t="str">
        <x:v>Relevance</x:v>
      </x:c>
      <x:c r="F5" s="20" t="str">
        <x:v>Account section</x:v>
      </x:c>
      <x:c r="G5" s="20" t="str">
        <x:v>Availability</x:v>
      </x:c>
    </x:row>
    <x:row r="6" ht="54" customHeight="1">
      <x:c r="A6" s="22" t="str">
        <x:v>Project Kick-off Notes</x:v>
      </x:c>
      <x:c r="B6" s="22" t="str">
        <x:v>6 Oct 2025</x:v>
      </x:c>
      <x:c r="C6" s="22" t="str">
        <x:v>Precious</x:v>
      </x:c>
      <x:c r="D6" s="22" t="str">
        <x:v>Meeting minutes</x:v>
      </x:c>
      <x:c r="E6" s="22" t="str">
        <x:v>Initiation</x:v>
      </x:c>
      <x:c r="F6" s="22" t="str">
        <x:v>A / F</x:v>
      </x:c>
      <x:c r="G6" s="22" t="str">
        <x:v>Referenced in supplied account; original not included</x:v>
      </x:c>
    </x:row>
    <x:row r="7" ht="54" customHeight="1">
      <x:c r="A7" s="22" t="str">
        <x:v>MVP Scope &amp; Approval</x:v>
      </x:c>
      <x:c r="B7" s="22" t="str">
        <x:v>24 Oct 2025</x:v>
      </x:c>
      <x:c r="C7" s="22" t="str">
        <x:v>Precious + Founders</x:v>
      </x:c>
      <x:c r="D7" s="22" t="str">
        <x:v>Document</x:v>
      </x:c>
      <x:c r="E7" s="22" t="str">
        <x:v>Scope baseline</x:v>
      </x:c>
      <x:c r="F7" s="22" t="str">
        <x:v>A / C / F</x:v>
      </x:c>
      <x:c r="G7" s="22" t="str">
        <x:v>Referenced in supplied account; original not included</x:v>
      </x:c>
    </x:row>
    <x:row r="8" ht="54" customHeight="1">
      <x:c r="A8" s="22" t="str">
        <x:v>Risk Register v4</x:v>
      </x:c>
      <x:c r="B8" s="22" t="str">
        <x:v>15 May 2026</x:v>
      </x:c>
      <x:c r="C8" s="22" t="str">
        <x:v>Precious</x:v>
      </x:c>
      <x:c r="D8" s="22" t="str">
        <x:v>Spreadsheet</x:v>
      </x:c>
      <x:c r="E8" s="22" t="str">
        <x:v>Risk management</x:v>
      </x:c>
      <x:c r="F8" s="22" t="str">
        <x:v>C / F</x:v>
      </x:c>
      <x:c r="G8" s="22" t="str">
        <x:v>Referenced in supplied account; original not included</x:v>
      </x:c>
    </x:row>
    <x:row r="9" ht="54" customHeight="1">
      <x:c r="A9" s="22" t="str">
        <x:v>Decision Log</x:v>
      </x:c>
      <x:c r="B9" s="22" t="str">
        <x:v>Continuous</x:v>
      </x:c>
      <x:c r="C9" s="22" t="str">
        <x:v>Precious</x:v>
      </x:c>
      <x:c r="D9" s="22" t="str">
        <x:v>Spreadsheet</x:v>
      </x:c>
      <x:c r="E9" s="22" t="str">
        <x:v>Governance</x:v>
      </x:c>
      <x:c r="F9" s="22" t="str">
        <x:v>A / C / F</x:v>
      </x:c>
      <x:c r="G9" s="22" t="str">
        <x:v>Referenced in supplied account; original not included</x:v>
      </x:c>
    </x:row>
    <x:row r="10" ht="54" customHeight="1">
      <x:c r="A10" s="22" t="str">
        <x:v>Jira Export (TRIM project)</x:v>
      </x:c>
      <x:c r="B10" s="22" t="str">
        <x:v>Snapshot: 25 Jun 2026</x:v>
      </x:c>
      <x:c r="C10" s="22" t="str">
        <x:v>System</x:v>
      </x:c>
      <x:c r="D10" s="22" t="str">
        <x:v>CSV</x:v>
      </x:c>
      <x:c r="E10" s="22" t="str">
        <x:v>Development history</x:v>
      </x:c>
      <x:c r="F10" s="22" t="str">
        <x:v>B / F</x:v>
      </x:c>
      <x:c r="G10" s="22" t="str">
        <x:v>Referenced in supplied account; original not included</x:v>
      </x:c>
    </x:row>
    <x:row r="11" ht="54" customHeight="1">
      <x:c r="A11" s="22" t="str">
        <x:v>Soft Launch Report</x:v>
      </x:c>
      <x:c r="B11" s="22" t="str">
        <x:v>25 Apr 2026</x:v>
      </x:c>
      <x:c r="C11" s="22" t="str">
        <x:v>Precious</x:v>
      </x:c>
      <x:c r="D11" s="22" t="str">
        <x:v>Document</x:v>
      </x:c>
      <x:c r="E11" s="22" t="str">
        <x:v>Testing evidence</x:v>
      </x:c>
      <x:c r="F11" s="22" t="str">
        <x:v>A / D / F</x:v>
      </x:c>
      <x:c r="G11" s="22" t="str">
        <x:v>Referenced in supplied account; original not included</x:v>
      </x:c>
    </x:row>
    <x:row r="12" ht="54" customHeight="1">
      <x:c r="A12" s="22" t="str">
        <x:v>Launch Readiness Checklist</x:v>
      </x:c>
      <x:c r="B12" s="22" t="str">
        <x:v>25 May 2026</x:v>
      </x:c>
      <x:c r="C12" s="22" t="str">
        <x:v>Precious</x:v>
      </x:c>
      <x:c r="D12" s="22" t="str">
        <x:v>Checklist</x:v>
      </x:c>
      <x:c r="E12" s="22" t="str">
        <x:v>Go-live decision</x:v>
      </x:c>
      <x:c r="F12" s="22" t="str">
        <x:v>D / F</x:v>
      </x:c>
      <x:c r="G12" s="22" t="str">
        <x:v>Referenced in supplied account; original not included</x:v>
      </x:c>
    </x:row>
    <x:row r="13" ht="54" customHeight="1">
      <x:c r="A13" s="22" t="str">
        <x:v>Go-Live Authorization</x:v>
      </x:c>
      <x:c r="B13" s="22" t="str">
        <x:v>26 May 2026</x:v>
      </x:c>
      <x:c r="C13" s="22" t="str">
        <x:v>Founders</x:v>
      </x:c>
      <x:c r="D13" s="22" t="str">
        <x:v>Email</x:v>
      </x:c>
      <x:c r="E13" s="22" t="str">
        <x:v>Formal approval</x:v>
      </x:c>
      <x:c r="F13" s="22" t="str">
        <x:v>A / D / F</x:v>
      </x:c>
      <x:c r="G13" s="22" t="str">
        <x:v>Referenced in supplied account; original not included</x:v>
      </x:c>
    </x:row>
    <x:row r="14" ht="54" customHeight="1">
      <x:c r="A14" s="22" t="str">
        <x:v>Post-Launch Metrics Dashboard</x:v>
      </x:c>
      <x:c r="B14" s="22" t="str">
        <x:v>25 Aug 2026</x:v>
      </x:c>
      <x:c r="C14" s="22" t="str">
        <x:v>Precious</x:v>
      </x:c>
      <x:c r="D14" s="22" t="str">
        <x:v>Spreadsheet</x:v>
      </x:c>
      <x:c r="E14" s="22" t="str">
        <x:v>Outcomes</x:v>
      </x:c>
      <x:c r="F14" s="22" t="str">
        <x:v>E / F</x:v>
      </x:c>
      <x:c r="G14" s="22" t="str">
        <x:v>Referenced in supplied account; original not included</x:v>
      </x:c>
    </x:row>
    <x:row r="15" ht="54" customHeight="1">
      <x:c r="A15" s="22" t="str">
        <x:v>Project Closure &amp; Lessons Learned</x:v>
      </x:c>
      <x:c r="B15" s="22" t="str">
        <x:v>25 Jun 2026</x:v>
      </x:c>
      <x:c r="C15" s="22" t="str">
        <x:v>Precious</x:v>
      </x:c>
      <x:c r="D15" s="22" t="str">
        <x:v>Document</x:v>
      </x:c>
      <x:c r="E15" s="22" t="str">
        <x:v>Handover</x:v>
      </x:c>
      <x:c r="F15" s="22" t="str">
        <x:v>A / D / F</x:v>
      </x:c>
      <x:c r="G15" s="22" t="str">
        <x:v>Referenced in supplied account; original not included</x:v>
      </x:c>
    </x:row>
    <x:row r="16" ht="23" customHeight="1">
      <x:c r="A16" s="3"/>
      <x:c r="B16" s="3"/>
      <x:c r="C16" s="3"/>
      <x:c r="D16" s="3"/>
      <x:c r="E16" s="3"/>
      <x:c r="F16" s="3"/>
      <x:c r="G16" s="3"/>
    </x:row>
    <x:row r="17" ht="23" customHeight="1">
      <x:c r="A17" s="3"/>
      <x:c r="B17" s="3"/>
      <x:c r="C17" s="3"/>
      <x:c r="D17" s="3"/>
      <x:c r="E17" s="3"/>
      <x:c r="F17" s="3"/>
      <x:c r="G17" s="3"/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692074d1636a4e3e"/>
  </x:tableParts>
</x:worksheet>
</file>

<file path=xl/worksheets/sheet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105" hidden="0" customWidth="1"/>
  </x:cols>
  <x:sheetData>
    <x:row r="1" ht="36" customHeight="1">
      <x:c r="A1" s="7" t="str">
        <x:v>TRIMLY | Compilation and record notes</x:v>
      </x:c>
      <x:c r="B1" s="7"/>
    </x:row>
    <x:row r="2" ht="34" customHeight="1">
      <x:c r="A2" s="11" t="str">
        <x:v>Read together with the project record. These notes preserve source limits without replacing the reported project facts.</x:v>
      </x:c>
      <x:c r="B2" s="11"/>
    </x:row>
    <x:row r="3" ht="32" customHeight="1">
      <x:c r="A3" s="16" t="str">
        <x:v>Compiled from project information supplied and confirmed by Precious Olusayo | Budget figures confidential</x:v>
      </x:c>
      <x:c r="B3" s="16"/>
    </x:row>
    <x:row r="4" ht="23" customHeight="1">
      <x:c r="A4" s="3"/>
      <x:c r="B4" s="3"/>
    </x:row>
    <x:row r="5" ht="34" customHeight="1">
      <x:c r="A5" s="20" t="str">
        <x:v>Topic</x:v>
      </x:c>
      <x:c r="B5" s="20" t="str">
        <x:v>Record note</x:v>
      </x:c>
    </x:row>
    <x:row r="6" ht="64" customHeight="1">
      <x:c r="A6" s="22" t="str">
        <x:v>Basis</x:v>
      </x:c>
      <x:c r="B6" s="22" t="str">
        <x:v>Compiled from project information supplied and confirmed by Precious Olusayo. Historical statements are attributed to that account, not independently authenticated.</x:v>
      </x:c>
    </x:row>
    <x:row r="7" ht="64" customHeight="1">
      <x:c r="A7" s="22" t="str">
        <x:v>Record format</x:v>
      </x:c>
      <x:c r="B7" s="22" t="str">
        <x:v>This package is a newly compiled project record. Its issue register is not a native Jira export and the approval summary is not an original signed approval.</x:v>
      </x:c>
    </x:row>
    <x:row r="8" ht="64" customHeight="1">
      <x:c r="A8" s="22" t="str">
        <x:v>Confidentiality</x:v>
      </x:c>
      <x:c r="B8" s="22" t="str">
        <x:v>All budget amounts, actual-spend amounts, savings, percentages and financial breakdowns are excluded. Only the within-budget outcome is retained.</x:v>
      </x:c>
    </x:row>
    <x:row r="9" ht="64" customHeight="1">
      <x:c r="A9" s="22" t="str">
        <x:v>Issue coverage</x:v>
      </x:c>
      <x:c r="B9" s="22" t="str">
        <x:v>Eight issue records were supplied. The account references approximately 87 total tickets; the remaining records are not reproduced or invented.</x:v>
      </x:c>
    </x:row>
    <x:row r="10" ht="64" customHeight="1">
      <x:c r="A10" s="22" t="str">
        <x:v>Sprint / report cadence</x:v>
      </x:c>
      <x:c r="B10" s="22" t="str">
        <x:v>18 sprints and 18 biweekly reports are reported for the project; sprint activity is dated 20 Nov 2025 - 15 May 2026. Individual sprint dates and report dates are not supplied. The counts are retained without creating a two-week calendar.</x:v>
      </x:c>
    </x:row>
    <x:row r="11" ht="64" customHeight="1">
      <x:c r="A11" s="22" t="str">
        <x:v>Delay durations</x:v>
      </x:c>
      <x:c r="B11" s="22" t="str">
        <x:v>Payment testing: 12 days; WhatsApp allocation iterations: 8 days; soft-launch booking bug: 4 days. Overlap and critical-path attribution are not supplied; these durations are not added to explain the 21-day launch variance.</x:v>
      </x:c>
    </x:row>
    <x:row r="12" ht="64" customHeight="1">
      <x:c r="A12" s="22" t="str">
        <x:v>Decision timing</x:v>
      </x:c>
      <x:c r="B12" s="22" t="str">
        <x:v>The 18 May delay decision is later than the original 5 May launch target. Dates are retained as supplied; no earlier rebaseline or approval is inserted.</x:v>
      </x:c>
    </x:row>
    <x:row r="13" ht="64" customHeight="1">
      <x:c r="A13" s="22" t="str">
        <x:v>Bug identity</x:v>
      </x:c>
      <x:c r="B13" s="22" t="str">
        <x:v>TRIM-58 was resolved 24 Apr, before the stated 25 Apr soft launch. It is not assumed to be the unnamed critical booking-flow bug discovered during soft launch.</x:v>
      </x:c>
    </x:row>
    <x:row r="14" ht="64" customHeight="1">
      <x:c r="A14" s="22" t="str">
        <x:v>Approval detail</x:v>
      </x:c>
      <x:c r="B14" s="22" t="str">
        <x:v>Founders' individual names, signature files, original approval email text and timestamped sign-off audit trails were not supplied. Approval events are summarized only.</x:v>
      </x:c>
    </x:row>
    <x:row r="15" ht="64" customHeight="1">
      <x:c r="A15" s="22" t="str">
        <x:v>Measurement windows</x:v>
      </x:c>
      <x:c r="B15" s="22" t="str">
        <x:v>The first-90-days uptime window, 26 May - 25 Aug booking analytics window, and first-three-months booking count are kept distinct.</x:v>
      </x:c>
    </x:row>
    <x:row r="16" ht="23" customHeight="1">
      <x:c r="A16" s="3"/>
      <x:c r="B16" s="3"/>
    </x:row>
    <x:row r="17" ht="23" customHeight="1">
      <x:c r="A17" s="3"/>
      <x:c r="B17" s="3"/>
    </x:row>
    <x:row r="18" ht="23" customHeight="1">
      <x:c r="A18" s="3"/>
      <x:c r="B18" s="3"/>
    </x:row>
    <x:row r="19" ht="23" customHeight="1">
      <x:c r="A19" s="3"/>
      <x:c r="B19" s="3"/>
    </x:row>
    <x:row r="20" ht="23" customHeight="1">
      <x:c r="A20" s="3"/>
      <x:c r="B20" s="3"/>
    </x:row>
    <x:row r="21" ht="23" customHeight="1">
      <x:c r="A21" s="3"/>
      <x:c r="B21" s="3"/>
    </x:row>
  </x:sheetData>
  <x:mergeCells>
    <x:mergeCell ref="A1:B1"/>
    <x:mergeCell ref="A2:B2"/>
    <x:mergeCell ref="A3:B3"/>
  </x:mergeCells>
  <x:pageMargins left="0.7" right="0.7" top="0.75" bottom="0.75" header="0.3" footer="0.3"/>
  <x:tableParts count="1">
    <x:tablePart xmlns:r="http://schemas.openxmlformats.org/officeDocument/2006/relationships" r:id="R68c5df9ca24047ee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6" customHeight="1">
      <x:c r="A1" s="7" t="str">
        <x:v>TRIMLY | Project delivery record</x:v>
      </x:c>
      <x:c r="B1" s="7"/>
      <x:c r="C1" s="7"/>
      <x:c r="D1" s="7"/>
      <x:c r="E1" s="7"/>
      <x:c r="F1" s="7"/>
      <x:c r="G1" s="7"/>
      <x:c r="H1" s="7"/>
    </x:row>
    <x:row r="2" ht="34" customHeight="1">
      <x:c r="A2" s="11" t="str">
        <x:v>Precious Olusayo | Web booking, Paystack payments and manual / WhatsApp barber coordination | Ibadan</x:v>
      </x:c>
      <x:c r="B2" s="11"/>
      <x:c r="C2" s="11"/>
      <x:c r="D2" s="11"/>
      <x:c r="E2" s="11"/>
      <x:c r="F2" s="11"/>
      <x:c r="G2" s="11"/>
      <x:c r="H2" s="11"/>
    </x:row>
    <x:row r="3" ht="32" customHeight="1">
      <x:c r="A3" s="16" t="str">
        <x:v>Compiled from project information supplied and confirmed by Precious Olusayo | Budget figures confidential</x:v>
      </x:c>
      <x:c r="B3" s="16"/>
      <x:c r="C3" s="16"/>
      <x:c r="D3" s="16"/>
      <x:c r="E3" s="16"/>
      <x:c r="F3" s="16"/>
      <x:c r="G3" s="16"/>
      <x:c r="H3" s="16"/>
    </x:row>
    <x:row r="4" ht="23" customHeight="1">
      <x:c r="A4" s="3"/>
      <x:c r="B4" s="3"/>
      <x:c r="C4" s="3"/>
      <x:c r="D4" s="3"/>
      <x:c r="E4" s="3"/>
      <x:c r="F4" s="3"/>
      <x:c r="G4" s="3"/>
      <x:c r="H4" s="3"/>
    </x:row>
    <x:row r="5" ht="28" customHeight="1">
      <x:c r="A5" s="48" t="str">
        <x:v>PUBLIC LAUNCH</x:v>
      </x:c>
      <x:c r="B5" s="48"/>
      <x:c r="C5" s="48" t="str">
        <x:v>LAUNCH VARIANCE</x:v>
      </x:c>
      <x:c r="D5" s="48"/>
      <x:c r="E5" s="48" t="str">
        <x:v>SUPPLIED ISSUES</x:v>
      </x:c>
      <x:c r="F5" s="48"/>
      <x:c r="G5" s="48" t="str">
        <x:v>BUDGET</x:v>
      </x:c>
      <x:c r="H5" s="48"/>
    </x:row>
    <x:row r="6" ht="27" customHeight="1">
      <x:c r="A6" s="56" t="n">
        <x:f>Timeline!D16</x:f>
        <x:v>46168</x:v>
      </x:c>
      <x:c r="B6" s="53"/>
      <x:c r="C6" s="58" t="n">
        <x:f>Timeline!F16</x:f>
        <x:v>21</x:v>
      </x:c>
      <x:c r="D6" s="53"/>
      <x:c r="E6" s="53" t="n">
        <x:f>COUNTA('Jira Register'!A6:A13)</x:f>
        <x:v>8</x:v>
      </x:c>
      <x:c r="F6" s="53"/>
      <x:c r="G6" s="53" t="str">
        <x:v>Within budget</x:v>
      </x:c>
      <x:c r="H6" s="53"/>
    </x:row>
    <x:row r="7" ht="27" customHeight="1">
      <x:c r="A7" s="53"/>
      <x:c r="B7" s="53"/>
      <x:c r="C7" s="53"/>
      <x:c r="D7" s="53"/>
      <x:c r="E7" s="53"/>
      <x:c r="F7" s="53"/>
      <x:c r="G7" s="53"/>
      <x:c r="H7" s="53"/>
    </x:row>
    <x:row r="8" ht="23" customHeight="1">
      <x:c r="A8" s="3"/>
      <x:c r="B8" s="3"/>
      <x:c r="C8" s="3"/>
      <x:c r="D8" s="3"/>
      <x:c r="E8" s="3"/>
      <x:c r="F8" s="3"/>
      <x:c r="G8" s="3"/>
      <x:c r="H8" s="3"/>
    </x:row>
    <x:row r="9" ht="23" customHeight="1">
      <x:c r="A9" s="3"/>
      <x:c r="B9" s="3"/>
      <x:c r="C9" s="3"/>
      <x:c r="D9" s="3"/>
      <x:c r="E9" s="3"/>
      <x:c r="F9" s="3"/>
      <x:c r="G9" s="3"/>
      <x:c r="H9" s="3"/>
    </x:row>
    <x:row r="10" ht="25" customHeight="1">
      <x:c r="A10" s="61" t="str">
        <x:v>Delivery period</x:v>
      </x:c>
      <x:c r="B10" s="61"/>
      <x:c r="C10" s="22" t="str">
        <x:v>6 October 2025 - 25 June 2026; reported as the nine-month October-June project.</x:v>
      </x:c>
      <x:c r="D10" s="22"/>
      <x:c r="E10" s="22"/>
      <x:c r="F10" s="22"/>
      <x:c r="G10" s="22"/>
      <x:c r="H10" s="22"/>
    </x:row>
    <x:row r="11" ht="25" customHeight="1">
      <x:c r="A11" s="61"/>
      <x:c r="B11" s="61"/>
      <x:c r="C11" s="22"/>
      <x:c r="D11" s="22"/>
      <x:c r="E11" s="22"/>
      <x:c r="F11" s="22"/>
      <x:c r="G11" s="22"/>
      <x:c r="H11" s="22"/>
    </x:row>
    <x:row r="12" ht="23" customHeight="1">
      <x:c r="A12" s="3"/>
      <x:c r="B12" s="3"/>
      <x:c r="C12" s="3"/>
      <x:c r="D12" s="3"/>
      <x:c r="E12" s="3"/>
      <x:c r="F12" s="3"/>
      <x:c r="G12" s="3"/>
      <x:c r="H12" s="3"/>
    </x:row>
    <x:row r="13" ht="25" customHeight="1">
      <x:c r="A13" s="61" t="str">
        <x:v>Delivery team</x:v>
      </x:c>
      <x:c r="B13" s="61"/>
      <x:c r="C13" s="22" t="str">
        <x:v>Eight people across project / product, engineering, design and operations.</x:v>
      </x:c>
      <x:c r="D13" s="22"/>
      <x:c r="E13" s="22"/>
      <x:c r="F13" s="22"/>
      <x:c r="G13" s="22"/>
      <x:c r="H13" s="22"/>
    </x:row>
    <x:row r="14" ht="25" customHeight="1">
      <x:c r="A14" s="61"/>
      <x:c r="B14" s="61"/>
      <x:c r="C14" s="22"/>
      <x:c r="D14" s="22"/>
      <x:c r="E14" s="22"/>
      <x:c r="F14" s="22"/>
      <x:c r="G14" s="22"/>
      <x:c r="H14" s="22"/>
    </x:row>
    <x:row r="15" ht="23" customHeight="1">
      <x:c r="A15" s="3"/>
      <x:c r="B15" s="3"/>
      <x:c r="C15" s="3"/>
      <x:c r="D15" s="3"/>
      <x:c r="E15" s="3"/>
      <x:c r="F15" s="3"/>
      <x:c r="G15" s="3"/>
      <x:c r="H15" s="3"/>
    </x:row>
    <x:row r="16" ht="25" customHeight="1">
      <x:c r="A16" s="61" t="str">
        <x:v>Launch scope</x:v>
      </x:c>
      <x:c r="B16" s="61"/>
      <x:c r="C16" s="22" t="str">
        <x:v>Web booking only; Paystack; manual + WhatsApp barber coordination; Ibadan. Mobile app excluded.</x:v>
      </x:c>
      <x:c r="D16" s="22"/>
      <x:c r="E16" s="22"/>
      <x:c r="F16" s="22"/>
      <x:c r="G16" s="22"/>
      <x:c r="H16" s="22"/>
    </x:row>
    <x:row r="17" ht="25" customHeight="1">
      <x:c r="A17" s="61"/>
      <x:c r="B17" s="61"/>
      <x:c r="C17" s="22"/>
      <x:c r="D17" s="22"/>
      <x:c r="E17" s="22"/>
      <x:c r="F17" s="22"/>
      <x:c r="G17" s="22"/>
      <x:c r="H17" s="22"/>
    </x:row>
    <x:row r="18" ht="23" customHeight="1">
      <x:c r="A18" s="3"/>
      <x:c r="B18" s="3"/>
      <x:c r="C18" s="3"/>
      <x:c r="D18" s="3"/>
      <x:c r="E18" s="3"/>
      <x:c r="F18" s="3"/>
      <x:c r="G18" s="3"/>
      <x:c r="H18" s="3"/>
    </x:row>
    <x:row r="19" ht="25" customHeight="1">
      <x:c r="A19" s="61" t="str">
        <x:v>Post-launch outcomes</x:v>
      </x:c>
      <x:c r="B19" s="61"/>
      <x:c r="C19" s="22" t="str">
        <x:v>210 completed bookings; 50 active barbers; 99% uptime; 97% payment success; 76% booking completion; 24% 30-day repeat rate. Reporting windows appear in Outcomes.</x:v>
      </x:c>
      <x:c r="D19" s="22"/>
      <x:c r="E19" s="22"/>
      <x:c r="F19" s="22"/>
      <x:c r="G19" s="22"/>
      <x:c r="H19" s="22"/>
    </x:row>
    <x:row r="20" ht="25" customHeight="1">
      <x:c r="A20" s="61"/>
      <x:c r="B20" s="61"/>
      <x:c r="C20" s="22"/>
      <x:c r="D20" s="22"/>
      <x:c r="E20" s="22"/>
      <x:c r="F20" s="22"/>
      <x:c r="G20" s="22"/>
      <x:c r="H20" s="22"/>
    </x:row>
    <x:row r="21" ht="23" customHeight="1">
      <x:c r="A21" s="3"/>
      <x:c r="B21" s="3"/>
      <x:c r="C21" s="3"/>
      <x:c r="D21" s="3"/>
      <x:c r="E21" s="3"/>
      <x:c r="F21" s="3"/>
      <x:c r="G21" s="3"/>
      <x:c r="H21" s="3"/>
    </x:row>
    <x:row r="22" ht="23" customHeight="1">
      <x:c r="A22" s="3"/>
      <x:c r="B22" s="3"/>
      <x:c r="C22" s="3"/>
      <x:c r="D22" s="3"/>
      <x:c r="E22" s="3"/>
      <x:c r="F22" s="3"/>
      <x:c r="G22" s="3"/>
      <x:c r="H22" s="3"/>
    </x:row>
    <x:row r="23" ht="25" customHeight="1">
      <x:c r="A23" s="61" t="str">
        <x:v>Package basis</x:v>
      </x:c>
      <x:c r="B23" s="61"/>
      <x:c r="C23" s="22" t="str">
        <x:v>Compiled from project information supplied and confirmed by Precious Olusayo. Historical statements are attributed to that account, not independently authenticated. This package is a newly compiled project record. Its issue register is not a native Jira export and the approval summary is not an original signed approval.</x:v>
      </x:c>
      <x:c r="D23" s="22"/>
      <x:c r="E23" s="22"/>
      <x:c r="F23" s="22"/>
      <x:c r="G23" s="22"/>
      <x:c r="H23" s="22"/>
    </x:row>
    <x:row r="24" ht="25" customHeight="1">
      <x:c r="A24" s="61"/>
      <x:c r="B24" s="61"/>
      <x:c r="C24" s="22"/>
      <x:c r="D24" s="22"/>
      <x:c r="E24" s="22"/>
      <x:c r="F24" s="22"/>
      <x:c r="G24" s="22"/>
      <x:c r="H24" s="22"/>
    </x:row>
    <x:row r="25" ht="23" customHeight="1">
      <x:c r="A25" s="3"/>
      <x:c r="B25" s="3"/>
      <x:c r="C25" s="3"/>
      <x:c r="D25" s="3"/>
      <x:c r="E25" s="3"/>
      <x:c r="F25" s="3"/>
      <x:c r="G25" s="3"/>
      <x:c r="H25" s="3"/>
    </x:row>
    <x:row r="26" ht="23" customHeight="1">
      <x:c r="A26" s="3"/>
      <x:c r="B26" s="3"/>
      <x:c r="C26" s="3"/>
      <x:c r="D26" s="3"/>
      <x:c r="E26" s="3"/>
      <x:c r="F26" s="3"/>
      <x:c r="G26" s="3"/>
      <x:c r="H26" s="3"/>
    </x:row>
    <x:row r="27" ht="23" customHeight="1">
      <x:c r="A27" s="7" t="str">
        <x:v>Workbook contents</x:v>
      </x:c>
      <x:c r="B27" s="7"/>
      <x:c r="C27" s="7"/>
      <x:c r="D27" s="7"/>
      <x:c r="E27" s="7"/>
      <x:c r="F27" s="7"/>
      <x:c r="G27" s="7"/>
      <x:c r="H27" s="7"/>
    </x:row>
    <x:row r="28" ht="23" customHeight="1">
      <x:c r="A28" s="22" t="str">
        <x:v>Timeline | Jira Register | Board | Transitions | Decisions | Risks | Launch | Outcomes | Source Index | Record Notes
Dates are sortable Excel dates; launch variances, issue elapsed days, board counts and month highlights use formulas.</x:v>
      </x:c>
      <x:c r="B28" s="22"/>
      <x:c r="C28" s="22"/>
      <x:c r="D28" s="22"/>
      <x:c r="E28" s="22"/>
      <x:c r="F28" s="22"/>
      <x:c r="G28" s="22"/>
      <x:c r="H28" s="22"/>
    </x:row>
    <x:row r="29" ht="23" customHeight="1">
      <x:c r="A29" s="22"/>
      <x:c r="B29" s="22"/>
      <x:c r="C29" s="22"/>
      <x:c r="D29" s="22"/>
      <x:c r="E29" s="22"/>
      <x:c r="F29" s="22"/>
      <x:c r="G29" s="22"/>
      <x:c r="H29" s="22"/>
    </x:row>
    <x:row r="30" ht="23" customHeight="1">
      <x:c r="A30" s="22"/>
      <x:c r="B30" s="22"/>
      <x:c r="C30" s="22"/>
      <x:c r="D30" s="22"/>
      <x:c r="E30" s="22"/>
      <x:c r="F30" s="22"/>
      <x:c r="G30" s="22"/>
      <x:c r="H30" s="22"/>
    </x:row>
    <x:row r="31" ht="23" customHeight="1">
      <x:c r="A31" s="3"/>
      <x:c r="B31" s="3"/>
      <x:c r="C31" s="3"/>
      <x:c r="D31" s="3"/>
      <x:c r="E31" s="3"/>
      <x:c r="F31" s="3"/>
      <x:c r="G31" s="3"/>
      <x:c r="H31" s="3"/>
    </x:row>
    <x:row r="32" ht="23" customHeight="1">
      <x:c r="A32" s="3"/>
      <x:c r="B32" s="3"/>
      <x:c r="C32" s="3"/>
      <x:c r="D32" s="3"/>
      <x:c r="E32" s="3"/>
      <x:c r="F32" s="3"/>
      <x:c r="G32" s="3"/>
      <x:c r="H32" s="3"/>
    </x:row>
    <x:row r="33" ht="23" customHeight="1">
      <x:c r="A33" s="3"/>
      <x:c r="B33" s="3"/>
      <x:c r="C33" s="3"/>
      <x:c r="D33" s="3"/>
      <x:c r="E33" s="3"/>
      <x:c r="F33" s="3"/>
      <x:c r="G33" s="3"/>
      <x:c r="H33" s="3"/>
    </x:row>
    <x:row r="34" ht="23" customHeight="1">
      <x:c r="A34" s="3"/>
      <x:c r="B34" s="3"/>
      <x:c r="C34" s="3"/>
      <x:c r="D34" s="3"/>
      <x:c r="E34" s="3"/>
      <x:c r="F34" s="3"/>
      <x:c r="G34" s="3"/>
      <x:c r="H34" s="3"/>
    </x:row>
    <x:row r="35" ht="23" customHeight="1">
      <x:c r="A35" s="3"/>
      <x:c r="B35" s="3"/>
      <x:c r="C35" s="3"/>
      <x:c r="D35" s="3"/>
      <x:c r="E35" s="3"/>
      <x:c r="F35" s="3"/>
      <x:c r="G35" s="3"/>
      <x:c r="H35" s="3"/>
    </x:row>
    <x:row r="36" ht="23" customHeight="1">
      <x:c r="A36" s="3"/>
      <x:c r="B36" s="3"/>
      <x:c r="C36" s="3"/>
      <x:c r="D36" s="3"/>
      <x:c r="E36" s="3"/>
      <x:c r="F36" s="3"/>
      <x:c r="G36" s="3"/>
      <x:c r="H36" s="3"/>
    </x:row>
  </x:sheetData>
  <x:mergeCells>
    <x:mergeCell ref="A1:H1"/>
    <x:mergeCell ref="A2:H2"/>
    <x:mergeCell ref="A3:H3"/>
    <x:mergeCell ref="A5:B5"/>
    <x:mergeCell ref="C5:D5"/>
    <x:mergeCell ref="E5:F5"/>
    <x:mergeCell ref="G5:H5"/>
    <x:mergeCell ref="A6:B7"/>
    <x:mergeCell ref="C6:D7"/>
    <x:mergeCell ref="E6:F7"/>
    <x:mergeCell ref="G6:H7"/>
    <x:mergeCell ref="A10:B11"/>
    <x:mergeCell ref="C10:H11"/>
    <x:mergeCell ref="A13:B14"/>
    <x:mergeCell ref="C13:H14"/>
    <x:mergeCell ref="A16:B17"/>
    <x:mergeCell ref="C16:H17"/>
    <x:mergeCell ref="A19:B20"/>
    <x:mergeCell ref="C19:H20"/>
    <x:mergeCell ref="A23:B24"/>
    <x:mergeCell ref="C23:H24"/>
    <x:mergeCell ref="A27:H27"/>
    <x:mergeCell ref="A28:H30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</x:cols>
  <x:sheetData>
    <x:row r="1" ht="36" customHeight="1">
      <x:c r="A1" s="7" t="str">
        <x:v>TRIMLY | Launch board - closure view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2" ht="34" customHeight="1">
      <x:c r="A2" s="11" t="str">
        <x:v>Status view of the eight supplied issues, as of the referenced 25 June 2026 snapshot. Not a screenshot or export of the original Jira workspace.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3" ht="32" customHeight="1">
      <x:c r="A3" s="16" t="str">
        <x:v>Compiled from project information supplied and confirmed by Precious Olusayo | Budget figures confidential</x:v>
      </x:c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</x:row>
    <x:row r="4" ht="23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2" customHeight="1">
      <x:c r="A5" s="64" t="str">
        <x:v>TO DO</x:v>
      </x:c>
      <x:c r="B5" s="64"/>
      <x:c r="C5" s="64"/>
      <x:c r="D5" s="64" t="str">
        <x:v>IN PROGRESS</x:v>
      </x:c>
      <x:c r="E5" s="64"/>
      <x:c r="F5" s="64"/>
      <x:c r="G5" s="64" t="str">
        <x:v>TESTING</x:v>
      </x:c>
      <x:c r="H5" s="64"/>
      <x:c r="I5" s="64"/>
      <x:c r="J5" s="72" t="str">
        <x:v>DONE</x:v>
      </x:c>
      <x:c r="K5" s="72"/>
      <x:c r="L5" s="72"/>
    </x:row>
    <x:row r="6" ht="28" customHeight="1">
      <x:c r="A6" s="53" t="n">
        <x:f>COUNTIF('Jira Register'!$J$6:$J$13,"To Do")</x:f>
        <x:v>0</x:v>
      </x:c>
      <x:c r="B6" s="53"/>
      <x:c r="C6" s="53"/>
      <x:c r="D6" s="53" t="n">
        <x:f>COUNTIF('Jira Register'!$J$6:$J$13,"In Progress")</x:f>
        <x:v>0</x:v>
      </x:c>
      <x:c r="E6" s="53"/>
      <x:c r="F6" s="53"/>
      <x:c r="G6" s="53" t="n">
        <x:f>COUNTIF('Jira Register'!$J$6:$J$13,"Testing")</x:f>
        <x:v>0</x:v>
      </x:c>
      <x:c r="H6" s="53"/>
      <x:c r="I6" s="53"/>
      <x:c r="J6" s="53" t="n">
        <x:f>COUNTIF('Jira Register'!$J$6:$J$13,"Done")</x:f>
        <x:v>8</x:v>
      </x:c>
      <x:c r="K6" s="53"/>
      <x:c r="L6" s="53"/>
    </x:row>
    <x:row r="7" ht="23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</x:row>
    <x:row r="8" ht="23" customHeight="1">
      <x:c r="A8" s="67" t="str">
        <x:v>No supplied issues in this status at closure.</x:v>
      </x:c>
      <x:c r="B8" s="67"/>
      <x:c r="C8" s="67"/>
      <x:c r="D8" s="67" t="str">
        <x:v>No supplied issues in this status at closure.</x:v>
      </x:c>
      <x:c r="E8" s="67"/>
      <x:c r="F8" s="67"/>
      <x:c r="G8" s="67" t="str">
        <x:v>No supplied issues in this status at closure.</x:v>
      </x:c>
      <x:c r="H8" s="67"/>
      <x:c r="I8" s="67"/>
      <x:c r="J8" s="38" t="str">
        <x:v>TRIM-12 | Story
Create web booking form - location, service, time
Dev 1 | High</x:v>
      </x:c>
      <x:c r="K8" s="38"/>
      <x:c r="L8" s="38"/>
    </x:row>
    <x:row r="9" ht="23" customHeight="1">
      <x:c r="A9" s="67"/>
      <x:c r="B9" s="67"/>
      <x:c r="C9" s="67"/>
      <x:c r="D9" s="67"/>
      <x:c r="E9" s="67"/>
      <x:c r="F9" s="67"/>
      <x:c r="G9" s="67"/>
      <x:c r="H9" s="67"/>
      <x:c r="I9" s="67"/>
      <x:c r="J9" s="38"/>
      <x:c r="K9" s="38"/>
      <x:c r="L9" s="38"/>
    </x:row>
    <x:row r="10" ht="23" customHeight="1">
      <x:c r="A10" s="67"/>
      <x:c r="B10" s="67"/>
      <x:c r="C10" s="67"/>
      <x:c r="D10" s="67"/>
      <x:c r="E10" s="67"/>
      <x:c r="F10" s="67"/>
      <x:c r="G10" s="67"/>
      <x:c r="H10" s="67"/>
      <x:c r="I10" s="67"/>
      <x:c r="J10" s="38"/>
      <x:c r="K10" s="38"/>
      <x:c r="L10" s="38"/>
    </x:row>
    <x:row r="11" ht="23" customHeight="1">
      <x:c r="A11" s="67"/>
      <x:c r="B11" s="67"/>
      <x:c r="C11" s="67"/>
      <x:c r="D11" s="67"/>
      <x:c r="E11" s="67"/>
      <x:c r="F11" s="67"/>
      <x:c r="G11" s="67"/>
      <x:c r="H11" s="67"/>
      <x:c r="I11" s="67"/>
      <x:c r="J11" s="3"/>
      <x:c r="K11" s="3"/>
      <x:c r="L11" s="3"/>
    </x:row>
    <x:row r="12" ht="23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8" t="str">
        <x:v>TRIM-19 | Story
Integrate Paystack payment gateway
Dev 2 | Highest</x:v>
      </x:c>
      <x:c r="K12" s="38"/>
      <x:c r="L12" s="38"/>
    </x:row>
    <x:row r="13" ht="23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8"/>
      <x:c r="K13" s="38"/>
      <x:c r="L13" s="38"/>
    </x:row>
    <x:row r="14" ht="23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8"/>
      <x:c r="K14" s="38"/>
      <x:c r="L14" s="38"/>
    </x:row>
    <x:row r="15" ht="23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</x:row>
    <x:row r="16" ht="23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8" t="str">
        <x:v>TRIM-27 | Story
Build simple barber allocation logic
Dev 1 | High</x:v>
      </x:c>
      <x:c r="K16" s="38"/>
      <x:c r="L16" s="38"/>
    </x:row>
    <x:row r="17" ht="23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8"/>
      <x:c r="K17" s="38"/>
      <x:c r="L17" s="38"/>
    </x:row>
    <x:row r="18" ht="23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8"/>
      <x:c r="K18" s="38"/>
      <x:c r="L18" s="38"/>
    </x:row>
    <x:row r="19" ht="23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 ht="23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8" t="str">
        <x:v>TRIM-41 | Task
WhatsApp notification templates for job assignment
Ops Lead | Medium</x:v>
      </x:c>
      <x:c r="K20" s="38"/>
      <x:c r="L20" s="38"/>
    </x:row>
    <x:row r="21" ht="23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8"/>
      <x:c r="K21" s="38"/>
      <x:c r="L21" s="38"/>
    </x:row>
    <x:row r="22" ht="23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8"/>
      <x:c r="K22" s="38"/>
      <x:c r="L22" s="38"/>
    </x:row>
    <x:row r="23" ht="23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</x:row>
    <x:row r="24" ht="23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8" t="str">
        <x:v>TRIM-58 | Bug
Fix booking confirmation email not sending
Dev 2 | Highest</x:v>
      </x:c>
      <x:c r="K24" s="38"/>
      <x:c r="L24" s="38"/>
    </x:row>
    <x:row r="25" ht="23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8"/>
      <x:c r="K25" s="38"/>
      <x:c r="L25" s="38"/>
    </x:row>
    <x:row r="26" ht="23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8"/>
      <x:c r="K26" s="38"/>
      <x:c r="L26" s="38"/>
    </x:row>
    <x:row r="27" ht="23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</x:row>
    <x:row r="28" ht="23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8" t="str">
        <x:v>TRIM-63 | Story
Payment retry logic for failed transactions
Dev 2 | Highest</x:v>
      </x:c>
      <x:c r="K28" s="38"/>
      <x:c r="L28" s="38"/>
    </x:row>
    <x:row r="29" ht="23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8"/>
      <x:c r="K29" s="38"/>
      <x:c r="L29" s="38"/>
    </x:row>
    <x:row r="30" ht="23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8"/>
      <x:c r="K30" s="38"/>
      <x:c r="L30" s="38"/>
    </x:row>
    <x:row r="31" ht="23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</x:row>
    <x:row r="32" ht="23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8" t="str">
        <x:v>TRIM-71 | Task
Soft-launch feedback - improve error messages
Designer | High</x:v>
      </x:c>
      <x:c r="K32" s="38"/>
      <x:c r="L32" s="38"/>
    </x:row>
    <x:row r="33" ht="23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8"/>
      <x:c r="K33" s="38"/>
      <x:c r="L33" s="38"/>
    </x:row>
    <x:row r="34" ht="23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8"/>
      <x:c r="K34" s="38"/>
      <x:c r="L34" s="38"/>
    </x:row>
    <x:row r="35" ht="23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</x:row>
    <x:row r="36" ht="23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8" t="str">
        <x:v>TRIM-79 | Task
Go-live checklist completion
Precious | Highest</x:v>
      </x:c>
      <x:c r="K36" s="38"/>
      <x:c r="L36" s="38"/>
    </x:row>
    <x:row r="37" ht="23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8"/>
      <x:c r="K37" s="38"/>
      <x:c r="L37" s="38"/>
    </x:row>
    <x:row r="38" ht="23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8"/>
      <x:c r="K38" s="38"/>
      <x:c r="L38" s="38"/>
    </x:row>
    <x:row r="39" ht="23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</x:row>
    <x:row r="40" ht="23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</x:row>
    <x:row r="41" ht="23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</x:row>
    <x:row r="42" ht="23" customHeight="1">
      <x:c r="A42" s="11" t="str">
        <x:v>All eight supplied records show Done. This view does not imply that all approximately 87 project tickets were closed; the remaining ticket records were not supplied. Detailed issue dates and reported transition sequence are in their own tabs.</x:v>
      </x:c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</x:row>
    <x:row r="43" ht="23" customHeight="1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</x:row>
    <x:row r="44" ht="23" customHeight="1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</x:row>
    <x:row r="45" ht="23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 ht="23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</x:row>
    <x:row r="47" ht="23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</x:row>
  </x:sheetData>
  <x:mergeCells>
    <x:mergeCell ref="A1:L1"/>
    <x:mergeCell ref="A2:L2"/>
    <x:mergeCell ref="A3:L3"/>
    <x:mergeCell ref="A5:C5"/>
    <x:mergeCell ref="A6:C6"/>
    <x:mergeCell ref="A8:C11"/>
    <x:mergeCell ref="D5:F5"/>
    <x:mergeCell ref="D6:F6"/>
    <x:mergeCell ref="D8:F11"/>
    <x:mergeCell ref="G5:I5"/>
    <x:mergeCell ref="G6:I6"/>
    <x:mergeCell ref="G8:I11"/>
    <x:mergeCell ref="J5:L5"/>
    <x:mergeCell ref="J6:L6"/>
    <x:mergeCell ref="J8:L10"/>
    <x:mergeCell ref="J12:L14"/>
    <x:mergeCell ref="J16:L18"/>
    <x:mergeCell ref="J20:L22"/>
    <x:mergeCell ref="J24:L26"/>
    <x:mergeCell ref="J28:L30"/>
    <x:mergeCell ref="J32:L34"/>
    <x:mergeCell ref="J36:L38"/>
    <x:mergeCell ref="A42:L44"/>
  </x:mergeCells>
  <x:pageMargins left="0.7" right="0.7" top="0.75" bottom="0.75" header="0.3" footer="0.3"/>
</x:worksheet>
</file>